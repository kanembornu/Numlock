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9c88a5ac0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09e8e3f658143f2"/>
    <x:sheet xmlns:r="http://schemas.openxmlformats.org/officeDocument/2006/relationships" name="Intake" sheetId="2" r:id="Ra8db6c3fc63541aa"/>
    <x:sheet xmlns:r="http://schemas.openxmlformats.org/officeDocument/2006/relationships" name="27-column preview" sheetId="3" r:id="Rad33ac3910094147"/>
    <x:sheet xmlns:r="http://schemas.openxmlformats.org/officeDocument/2006/relationships" name="Production mapping" sheetId="4" r:id="Rfdadb42889b6484a"/>
    <x:sheet xmlns:r="http://schemas.openxmlformats.org/officeDocument/2006/relationships" name="Authorities" sheetId="5" r:id="Rcbd8ed47fd4b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yyyy-mm-dd hh:mm"/>
    <x:numFmt numFmtId="202" formatCode="0.######"/>
    <x:numFmt numFmtId="203" formatCode="0.##########"/>
    <x:numFmt numFmtId="204" formatCode="#,##0"/>
  </x:numFmts>
  <x:fonts count="7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b/>
      <x:sz val="14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200" fontId="1" fillId="4" borderId="0" xfId="0" applyNumberFormat="1" applyFont="1" applyFill="1" applyBorder="1" applyAlignment="1">
      <x:alignment vertical="top"/>
    </x:xf>
    <x:xf numFmtId="201" fontId="1" fillId="5" borderId="0" xfId="0" applyNumberFormat="1" applyFont="1" applyFill="1" applyBorder="1" applyAlignment="1">
      <x:alignment vertical="top"/>
    </x:xf>
    <x:xf numFmtId="202" fontId="1" fillId="5" borderId="0" xfId="0" applyNumberFormat="1" applyFont="1" applyFill="1" applyBorder="1" applyAlignment="1">
      <x:alignment vertical="top"/>
    </x:xf>
    <x:xf numFmtId="203" fontId="1" fillId="5" borderId="0" xfId="0" applyNumberFormat="1" applyFont="1" applyFill="1" applyBorder="1" applyAlignment="1">
      <x:alignment vertical="top"/>
    </x:xf>
    <x:xf numFmtId="204" fontId="1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2042282c341ae" /><Relationship Type="http://schemas.openxmlformats.org/officeDocument/2006/relationships/theme" Target="/xl/theme/theme1.xml" Id="R344d7e3b55dd4a6a" /><Relationship Type="http://schemas.microsoft.com/office/2022/11/relationships/FeaturePropertyBag" Target="/xl/featurePropertyBag/featurePropertyBag.xml" Id="Rd9309efbf4f64226" /><Relationship Type="http://schemas.openxmlformats.org/officeDocument/2006/relationships/sharedStrings" Target="/xl/sharedStrings.xml" Id="R440c877cdea74134" /><Relationship Type="http://schemas.openxmlformats.org/officeDocument/2006/relationships/worksheet" Target="/xl/worksheets/sheet1.xml" Id="Rd09e8e3f658143f2" /><Relationship Type="http://schemas.openxmlformats.org/officeDocument/2006/relationships/worksheet" Target="/xl/worksheets/sheet2.xml" Id="Ra8db6c3fc63541aa" /><Relationship Type="http://schemas.openxmlformats.org/officeDocument/2006/relationships/worksheet" Target="/xl/worksheets/sheet3.xml" Id="Rad33ac3910094147" /><Relationship Type="http://schemas.openxmlformats.org/officeDocument/2006/relationships/worksheet" Target="/xl/worksheets/sheet4.xml" Id="Rfdadb42889b6484a" /><Relationship Type="http://schemas.openxmlformats.org/officeDocument/2006/relationships/worksheet" Target="/xl/worksheets/sheet5.xml" Id="Rcbd8ed47fd4b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7.779998779296875" hidden="0" customWidth="1"/>
    <x:col min="3" max="3" width="21.110000610351562" hidden="0" customWidth="1"/>
    <x:col min="4" max="4" width="21.110000610351562" hidden="0" customWidth="1"/>
    <x:col min="5" max="5" width="46.66999816894531" hidden="0" customWidth="1"/>
  </x:cols>
  <x:sheetData>
    <x:row r="1">
      <x:c r="A1" s="6" t="str">
        <x:v>Inventory opening evidence intake</x:v>
      </x:c>
      <x:c r="B1" s="6"/>
      <x:c r="C1" s="6"/>
      <x:c r="D1" s="6"/>
      <x:c r="E1" s="6"/>
      <x:c r="F1" s="7"/>
      <x:c r="G1" s="7"/>
      <x:c r="H1" s="7"/>
    </x:row>
    <x:row r="2">
      <x:c r="A2" s="8" t="str">
        <x:v>Cutover: 2026-09-30 EOD Asia/Jakarta | Location: MAIN | Batch candidate: INV-OPEN-20261001-V01</x:v>
      </x:c>
      <x:c r="B2" s="8"/>
      <x:c r="C2" s="8"/>
      <x:c r="D2" s="8"/>
      <x:c r="E2" s="8"/>
      <x:c r="F2" s="9"/>
      <x:c r="G2" s="9"/>
      <x:c r="H2" s="9"/>
    </x:row>
    <x:row r="3">
      <x:c r="A3" s="3"/>
      <x:c r="B3" s="3"/>
      <x:c r="C3" s="3"/>
      <x:c r="D3" s="3"/>
      <x:c r="E3" s="3"/>
    </x:row>
    <x:row r="4">
      <x:c r="A4" s="14" t="str">
        <x:v>Topic</x:v>
      </x:c>
      <x:c r="B4" s="14" t="str">
        <x:v>Operator guidance</x:v>
      </x:c>
      <x:c r="C4" s="15"/>
      <x:c r="D4" s="14" t="str">
        <x:v>Allowed EconomicOrigin</x:v>
      </x:c>
      <x:c r="E4" s="14" t="str">
        <x:v>Meaning</x:v>
      </x:c>
    </x:row>
    <x:row r="5">
      <x:c r="A5" s="15" t="str">
        <x:v>Purpose</x:v>
      </x:c>
      <x:c r="B5" s="15" t="str">
        <x:v>Collect evidence only. This workbook does not create accounting or posting authority.</x:v>
      </x:c>
      <x:c r="C5" s="15"/>
      <x:c r="D5" s="15" t="str">
        <x:v>PRIOR_PERIOD_EXPENSED</x:v>
      </x:c>
      <x:c r="E5" s="15" t="str">
        <x:v>Acquisition was recognized as expense before the current period.</x:v>
      </x:c>
    </x:row>
    <x:row r="6">
      <x:c r="A6" s="15" t="str">
        <x:v>Quantity</x:v>
      </x:c>
      <x:c r="B6" s="15" t="str">
        <x:v>Enter a physical count or measurement observed on 2026-09-30. A missing count is not zero.</x:v>
      </x:c>
      <x:c r="C6" s="15"/>
      <x:c r="D6" s="15" t="str">
        <x:v>CURRENT_PERIOD_EXPENSED</x:v>
      </x:c>
      <x:c r="E6" s="15" t="str">
        <x:v>Acquisition was recognized as expense in the current period.</x:v>
      </x:c>
    </x:row>
    <x:row r="7">
      <x:c r="A7" s="15" t="str">
        <x:v>Verified zero</x:v>
      </x:c>
      <x:c r="B7" s="15" t="str">
        <x:v>Enter ObservedQty=0 and a QuantityEvidenceRef. Leave UnitCost blank; TotalValue derives to 0.</x:v>
      </x:c>
      <x:c r="C7" s="15"/>
      <x:c r="D7" s="15" t="str">
        <x:v>OWNER_CONTRIBUTED</x:v>
      </x:c>
      <x:c r="E7" s="15" t="str">
        <x:v>Inventory was contributed by the owner and has supporting evidence.</x:v>
      </x:c>
    </x:row>
    <x:row r="8">
      <x:c r="A8" s="15" t="str">
        <x:v>Positive quantity</x:v>
      </x:c>
      <x:c r="B8" s="15" t="str">
        <x:v>Enter ObservedQty greater than 0, supported UnitCost, ValuationBasis, and ValuationEvidenceRef.</x:v>
      </x:c>
      <x:c r="C8" s="15"/>
      <x:c r="D8" s="15" t="str">
        <x:v>UNPAID_SUPPLIER</x:v>
      </x:c>
      <x:c r="E8" s="15" t="str">
        <x:v>Inventory remains payable to a supplier and has supporting evidence.</x:v>
      </x:c>
    </x:row>
    <x:row r="9">
      <x:c r="A9" s="15" t="str">
        <x:v>Valuation evidence</x:v>
      </x:c>
      <x:c r="B9" s="15" t="str">
        <x:v>Use invoice, receipt, supplier specification, or controlled cost evidence. Do not use tabsal.HPP, recipes, UsableQty, or guessed cost.</x:v>
      </x:c>
      <x:c r="C9" s="15"/>
      <x:c r="D9" s="15" t="str">
        <x:v>OTHER_SUPPORTED</x:v>
      </x:c>
      <x:c r="E9" s="15" t="str">
        <x:v>Another origin is supported and explained in OperatorNotes.</x:v>
      </x:c>
    </x:row>
    <x:row r="10">
      <x:c r="A10" s="15" t="str">
        <x:v>Source provenance</x:v>
      </x:c>
      <x:c r="B10" s="15" t="str">
        <x:v>Record acquisition evidence and historical recognition or payment, unpaid, or contribution linkage when known.</x:v>
      </x:c>
      <x:c r="C10" s="15"/>
      <x:c r="D10" s="15" t="str">
        <x:v>UNRESOLVED</x:v>
      </x:c>
      <x:c r="E10" s="15" t="str">
        <x:v>Source provenance is not yet resolved; intake may continue but readiness is blocked.</x:v>
      </x:c>
    </x:row>
    <x:row r="11">
      <x:c r="A11" s="15" t="str">
        <x:v>EconomicOrigin</x:v>
      </x:c>
      <x:c r="B11" s="15" t="str">
        <x:v>Leave blank unless independently evidenced. UNRESOLVED is allowed during intake and blocks accounting readiness.</x:v>
      </x:c>
      <x:c r="C11" s="15"/>
      <x:c r="D11" s="15" t="str">
        <x:v>Blank</x:v>
      </x:c>
      <x:c r="E11" s="15" t="str">
        <x:v>Required default when no independent origin evidence exists.</x:v>
      </x:c>
    </x:row>
    <x:row r="12">
      <x:c r="A12" s="15" t="str">
        <x:v>Review</x:v>
      </x:c>
      <x:c r="B12" s="15" t="str">
        <x:v>PreparedBy and ReviewedBy must be different people; ReviewedAt must be later than PreparedAt.</x:v>
      </x:c>
      <x:c r="C12" s="15"/>
      <x:c r="D12" s="15"/>
      <x:c r="E12" s="15"/>
    </x:row>
    <x:row r="13">
      <x:c r="A13" s="15" t="str">
        <x:v>Decimals</x:v>
      </x:c>
      <x:c r="B13" s="15" t="str">
        <x:v>ObservedQty supports at most 6 decimal places. UnitCost supports at most 10 decimal places.</x:v>
      </x:c>
      <x:c r="C13" s="15"/>
      <x:c r="D13" s="15"/>
      <x:c r="E13" s="15"/>
    </x:row>
    <x:row r="14">
      <x:c r="A14" s="15" t="str">
        <x:v>TotalValue</x:v>
      </x:c>
      <x:c r="B14" s="15" t="str">
        <x:v>System-derived integer Rupiah using half-up rounding: ROUND(ObservedQty × UnitCost, 0).</x:v>
      </x:c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6" t="str">
        <x:v>Lemon memo — non-authoritative whole-fruit observation only</x:v>
      </x:c>
      <x:c r="B16" s="16" t="str">
        <x:v>WholeFruitObservedQty</x:v>
      </x:c>
      <x:c r="C16" s="16" t="str">
        <x:v>ObservationTimestamp</x:v>
      </x:c>
      <x:c r="D16" s="16" t="str">
        <x:v>QuantityEvidenceRef</x:v>
      </x:c>
      <x:c r="E16" s="16" t="str">
        <x:v>Notes</x:v>
      </x:c>
    </x:row>
    <x:row r="17">
      <x:c r="A17" s="15" t="str">
        <x:v>ING-018 Lemon</x:v>
      </x:c>
      <x:c r="B17" s="15" t="str"/>
      <x:c r="C17" s="15" t="str"/>
      <x:c r="D17" s="15" t="str"/>
      <x:c r="E17" s="15" t="str">
        <x:v>No slice conversion or authoritative opening row. This memo never maps to InventoryOpenings.</x:v>
      </x:c>
    </x:row>
    <x:row r="18">
      <x:c r="A18" s="15" t="str">
        <x:v>Authority</x:v>
      </x:c>
      <x:c r="B18" s="15" t="str">
        <x:v>NONE</x:v>
      </x:c>
      <x:c r="C18" s="15" t="str"/>
      <x:c r="D18" s="15" t="str"/>
      <x:c r="E18" s="15" t="str"/>
    </x:row>
    <x:row r="19">
      <x:c r="A19" s="15" t="str">
        <x:v>Production mapping</x:v>
      </x:c>
      <x:c r="B19" s="15" t="str">
        <x:v>EXCLUDED</x:v>
      </x:c>
      <x:c r="C19" s="15" t="str"/>
      <x:c r="D19" s="15" t="str"/>
      <x:c r="E19" s="1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8" ySplit="4" topLeftCell="I5" activePane="bottomRight" state="frozen"/>
    </x:sheetView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6.670000076293945" hidden="0" customWidth="1"/>
    <x:col min="7" max="7" width="14.4399995803833" hidden="0" customWidth="1"/>
    <x:col min="8" max="8" width="46.66999816894531" hidden="0" customWidth="1"/>
    <x:col min="9" max="9" width="14.4399995803833" hidden="0" customWidth="1"/>
    <x:col min="10" max="10" width="14.4399995803833" hidden="0" customWidth="1"/>
    <x:col min="11" max="11" width="24.440000534057617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24.440000534057617" hidden="0" customWidth="1"/>
    <x:col min="16" max="16" width="24.440000534057617" hidden="0" customWidth="1"/>
    <x:col min="17" max="17" width="24.440000534057617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28.889999389648438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  <x:col min="28" max="28" width="14.4399995803833" hidden="0" customWidth="1"/>
    <x:col min="29" max="29" width="14.4399995803833" hidden="0" customWidth="1"/>
    <x:col min="30" max="30" width="14.4399995803833" hidden="0" customWidth="1"/>
    <x:col min="31" max="31" width="14.4399995803833" hidden="0" customWidth="1"/>
    <x:col min="32" max="32" width="14.4399995803833" hidden="0" customWidth="1"/>
    <x:col min="33" max="33" width="14.4399995803833" hidden="0" customWidth="1"/>
    <x:col min="34" max="34" width="14.4399995803833" hidden="0" customWidth="1"/>
    <x:col min="35" max="35" width="14.4399995803833" hidden="0" customWidth="1"/>
  </x:cols>
  <x:sheetData>
    <x:row r="1">
      <x:c r="A1" s="6" t="str">
        <x:v>21-item intake — operator inputs and deterministic checks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</x:row>
    <x:row r="2">
      <x:c r="A2" s="8" t="str">
        <x:v>Blue = authority/reference | Yellow = operator input | Gray = system-derived. Blank EconomicOrigin is intentional until evidenced.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</x:row>
    <x:row r="4" ht="36" customHeight="1">
      <x:c r="A4" s="14" t="str">
        <x:v>OpeningID</x:v>
      </x:c>
      <x:c r="B4" s="14" t="str">
        <x:v>OpeningBatchID</x:v>
      </x:c>
      <x:c r="C4" s="14" t="str">
        <x:v>CutoverDate</x:v>
      </x:c>
      <x:c r="D4" s="14" t="str">
        <x:v>Location</x:v>
      </x:c>
      <x:c r="E4" s="14" t="str">
        <x:v>ItemID</x:v>
      </x:c>
      <x:c r="F4" s="14" t="str">
        <x:v>ItemName</x:v>
      </x:c>
      <x:c r="G4" s="14" t="str">
        <x:v>BaseUOM</x:v>
      </x:c>
      <x:c r="H4" s="14" t="str">
        <x:v>ConversionPackageContext</x:v>
      </x:c>
      <x:c r="I4" s="14" t="str">
        <x:v>ObservedQty</x:v>
      </x:c>
      <x:c r="J4" s="14" t="str">
        <x:v>ObservationTimestamp</x:v>
      </x:c>
      <x:c r="K4" s="14" t="str">
        <x:v>QuantityEvidenceRef</x:v>
      </x:c>
      <x:c r="L4" s="14" t="str">
        <x:v>UnitCost</x:v>
      </x:c>
      <x:c r="M4" s="14" t="str">
        <x:v>TotalValue</x:v>
      </x:c>
      <x:c r="N4" s="14" t="str">
        <x:v>ValuationBasis</x:v>
      </x:c>
      <x:c r="O4" s="14" t="str">
        <x:v>ValuationEvidenceRef</x:v>
      </x:c>
      <x:c r="P4" s="14" t="str">
        <x:v>AcquisitionEvidenceRef</x:v>
      </x:c>
      <x:c r="Q4" s="14" t="str">
        <x:v>AccountingSourceRef</x:v>
      </x:c>
      <x:c r="R4" s="14" t="str">
        <x:v>EconomicOrigin</x:v>
      </x:c>
      <x:c r="S4" s="14" t="str">
        <x:v>PreparedBy</x:v>
      </x:c>
      <x:c r="T4" s="14" t="str">
        <x:v>PreparedAt</x:v>
      </x:c>
      <x:c r="U4" s="14" t="str">
        <x:v>ReviewedBy</x:v>
      </x:c>
      <x:c r="V4" s="14" t="str">
        <x:v>ReviewedAt</x:v>
      </x:c>
      <x:c r="W4" s="14" t="str">
        <x:v>ApprovalStatus</x:v>
      </x:c>
      <x:c r="X4" s="14" t="str">
        <x:v>OperatorNotes</x:v>
      </x:c>
      <x:c r="Y4" s="14" t="str">
        <x:v>BaseUOMValidation</x:v>
      </x:c>
      <x:c r="Z4" s="14" t="str">
        <x:v>MissingCountEvidence</x:v>
      </x:c>
      <x:c r="AA4" s="14" t="str">
        <x:v>MissingValuationEvidence</x:v>
      </x:c>
      <x:c r="AB4" s="14" t="str">
        <x:v>UnresolvedSourceProvenance</x:v>
      </x:c>
      <x:c r="AC4" s="14" t="str">
        <x:v>ConflictingSourceEvidence</x:v>
      </x:c>
      <x:c r="AD4" s="14" t="str">
        <x:v>InvalidUOM</x:v>
      </x:c>
      <x:c r="AE4" s="14" t="str">
        <x:v>InvalidDecimalPrecision</x:v>
      </x:c>
      <x:c r="AF4" s="14" t="str">
        <x:v>InvalidTotalValue</x:v>
      </x:c>
      <x:c r="AG4" s="14" t="str">
        <x:v>ReadinessState</x:v>
      </x:c>
      <x:c r="AH4" s="14" t="str">
        <x:v>ConflictState</x:v>
      </x:c>
      <x:c r="AI4" s="14" t="str">
        <x:v>ConversionStatus</x:v>
      </x:c>
    </x:row>
    <x:row r="5" ht="54" customHeight="1">
      <x:c r="A5" s="24" t="str">
        <x:v>OPEN-ING-004-MAIN-20260930-V01</x:v>
      </x:c>
      <x:c r="B5" s="24" t="str">
        <x:v>INV-OPEN-20261001-V01</x:v>
      </x:c>
      <x:c r="C5" s="25" t="n">
        <x:v>46295</x:v>
      </x:c>
      <x:c r="D5" s="24" t="str">
        <x:v>MAIN</x:v>
      </x:c>
      <x:c r="E5" s="24" t="str">
        <x:v>ING-004</x:v>
      </x:c>
      <x:c r="F5" s="24" t="str">
        <x:v>Bean Ar 100%</x:v>
      </x:c>
      <x:c r="G5" s="24" t="str">
        <x:v>gr</x:v>
      </x:c>
      <x:c r="H5" s="24" t="str">
        <x:v>CONV-ATT-ING-004-V01 | bag → gr | 1000:1 | ING-004|INTERNAL-SHOPEE-CHANNEL|Bean Ar 100%|NO-SKU|plastic bag 1 kg|V01 | Effective 2026-10-01</x:v>
      </x:c>
      <x:c r="I5" s="26"/>
      <x:c r="J5" s="27"/>
      <x:c r="K5" s="28"/>
      <x:c r="L5" s="29"/>
      <x:c r="M5" s="30" t="str">
        <x:f>IF(COUNT(I5)=0,"",IF(I5=0,0,IF(COUNT(L5)=0,"",ROUND(I5*L5,0))))</x:f>
      </x:c>
      <x:c r="N5" s="28"/>
      <x:c r="O5" s="28"/>
      <x:c r="P5" s="28"/>
      <x:c r="Q5" s="28"/>
      <x:c r="R5" s="28"/>
      <x:c r="S5" s="28"/>
      <x:c r="T5" s="27"/>
      <x:c r="U5" s="28"/>
      <x:c r="V5" s="27"/>
      <x:c r="W5" s="31" t="str">
        <x:f>AG5</x:f>
        <x:v>DRAFT</x:v>
      </x:c>
      <x:c r="X5" s="28"/>
      <x:c r="Y5" s="31" t="str">
        <x:f>IF(G5=Authorities!C4,"PASS","INVALID_UOM")</x:f>
        <x:v>PASS</x:v>
      </x:c>
      <x:c r="Z5" s="31" t="str">
        <x:f>IF(OR(COUNT(I5)=0,J5="",K5=""),"MISSING_COUNT_EVIDENCE","CLEAR")</x:f>
        <x:v>MISSING_COUNT_EVIDENCE</x:v>
      </x:c>
      <x:c r="AA5" s="31" t="str">
        <x:f>IF(AND(COUNT(I5)&gt;0,I5&gt;0,OR(COUNT(L5)=0,N5="",O5="")),"MISSING_VALUATION_EVIDENCE","CLEAR")</x:f>
        <x:v>CLEAR</x:v>
      </x:c>
      <x:c r="AB5" s="31" t="str">
        <x:f>IF(AND(COUNT(I5)&gt;0,I5&gt;0,OR(R5="",R5="UNRESOLVED",P5="",Q5="")),"UNRESOLVED_SOURCE_PROVENANCE","CLEAR")</x:f>
        <x:v>CLEAR</x:v>
      </x:c>
      <x:c r="AC5" s="31" t="str">
        <x:f>IF(OR(AND(R5&lt;&gt;"",COUNTIF(Guide!$D$5:$D$11,R5)=0),AND(R5="UNPAID_SUPPLIER",LEFT(Q5,3)&lt;&gt;"AP:"),AND(R5="OWNER_CONTRIBUTED",LEFT(Q5,6)&lt;&gt;"OWNER:")),"CONFLICTING_SOURCE_EVIDENCE","CLEAR")</x:f>
        <x:v>CLEAR</x:v>
      </x:c>
      <x:c r="AD5" s="31" t="str">
        <x:f>IF(Y5="PASS","CLEAR","INVALID_UOM")</x:f>
        <x:v>CLEAR</x:v>
      </x:c>
      <x:c r="AE5" s="31" t="str">
        <x:f>IF(COUNT(I5)=0,"CLEAR",IF(ROUND(I5,6)&lt;&gt;I5,"INVALID_DECIMAL_PRECISION",IF(COUNT(L5)=0,"CLEAR",IF(ROUND(L5,10)&lt;&gt;L5,"INVALID_DECIMAL_PRECISION","CLEAR"))))</x:f>
        <x:v>CLEAR</x:v>
      </x:c>
      <x:c r="AF5" s="31" t="str">
        <x:f>IF(COUNT(I5)=0,"CLEAR",IF(I5=0,IF(AND(COUNT(L5)=0,M5=0),"CLEAR","INVALID_TOTAL_VALUE"),IF(OR(COUNT(L5)=0,M5="",M5&lt;&gt;ROUND(I5*L5,0),M5&lt;&gt;ROUND(M5,0)),"INVALID_TOTAL_VALUE","CLEAR")))</x:f>
        <x:v>CLEAR</x:v>
      </x:c>
      <x:c r="AG5" s="31" t="str">
        <x:f>IF(Z5&lt;&gt;"CLEAR","DRAFT",IF(OR(AD5&lt;&gt;"CLEAR",AE5&lt;&gt;"CLEAR",J5&lt;DATE(2026,9,30),J5&gt;=DATE(2026,10,1)),"DRAFT",IF(I5=0,"COUNT_VERIFIED",IF(AA5&lt;&gt;"CLEAR","COUNT_VERIFIED",IF(AB5&lt;&gt;"CLEAR","NEEDS_SOURCE_EVIDENCE",IF(AC5&lt;&gt;"CLEAR","CLASSIFICATION_CONFLICT",IF(OR(S5="",T5="",U5="",V5="",S5=U5,V5&lt;=T5),"VALUATION_VERIFIED","READY_FOR_ACCOUNTING_REVIEW")))))))</x:f>
        <x:v>DRAFT</x:v>
      </x:c>
      <x:c r="AH5" s="31" t="str">
        <x:f>IF(COUNTIF(Z5:AF5,"&lt;&gt;CLEAR")=0,"CLEAR","REVIEW_REQUIRED")</x:f>
        <x:v>REVIEW_REQUIRED</x:v>
      </x:c>
      <x:c r="AI5" s="24" t="str">
        <x:v>SINGLE_OPERATOR_VERIFIED</x:v>
      </x:c>
    </x:row>
    <x:row r="6" ht="54" customHeight="1">
      <x:c r="A6" s="24" t="str">
        <x:v>OPEN-ING-005-MAIN-20260930-V01</x:v>
      </x:c>
      <x:c r="B6" s="24" t="str">
        <x:v>INV-OPEN-20261001-V01</x:v>
      </x:c>
      <x:c r="C6" s="25" t="n">
        <x:v>46295</x:v>
      </x:c>
      <x:c r="D6" s="24" t="str">
        <x:v>MAIN</x:v>
      </x:c>
      <x:c r="E6" s="24" t="str">
        <x:v>ING-005</x:v>
      </x:c>
      <x:c r="F6" s="24" t="str">
        <x:v>Bean Ar Lintong</x:v>
      </x:c>
      <x:c r="G6" s="24" t="str">
        <x:v>gr</x:v>
      </x:c>
      <x:c r="H6" s="24" t="str">
        <x:v>CONV-ATT-ING-005-V01 | bag → gr | 500:1 | ING-005|INTERNAL-SHOPEE-CHANNEL|Bean Ar Lintong|NO-SKU|plastic bag 500 gr|V01 | Effective 2026-10-01</x:v>
      </x:c>
      <x:c r="I6" s="26"/>
      <x:c r="J6" s="27"/>
      <x:c r="K6" s="28"/>
      <x:c r="L6" s="29"/>
      <x:c r="M6" s="30" t="str">
        <x:f>IF(COUNT(I6)=0,"",IF(I6=0,0,IF(COUNT(L6)=0,"",ROUND(I6*L6,0))))</x:f>
      </x:c>
      <x:c r="N6" s="28"/>
      <x:c r="O6" s="28"/>
      <x:c r="P6" s="28"/>
      <x:c r="Q6" s="28"/>
      <x:c r="R6" s="28"/>
      <x:c r="S6" s="28"/>
      <x:c r="T6" s="27"/>
      <x:c r="U6" s="28"/>
      <x:c r="V6" s="27"/>
      <x:c r="W6" s="31" t="str">
        <x:f>AG6</x:f>
        <x:v>DRAFT</x:v>
      </x:c>
      <x:c r="X6" s="28"/>
      <x:c r="Y6" s="31" t="str">
        <x:f>IF(G6=Authorities!C5,"PASS","INVALID_UOM")</x:f>
        <x:v>PASS</x:v>
      </x:c>
      <x:c r="Z6" s="31" t="str">
        <x:f>IF(OR(COUNT(I6)=0,J6="",K6=""),"MISSING_COUNT_EVIDENCE","CLEAR")</x:f>
        <x:v>MISSING_COUNT_EVIDENCE</x:v>
      </x:c>
      <x:c r="AA6" s="31" t="str">
        <x:f>IF(AND(COUNT(I6)&gt;0,I6&gt;0,OR(COUNT(L6)=0,N6="",O6="")),"MISSING_VALUATION_EVIDENCE","CLEAR")</x:f>
        <x:v>CLEAR</x:v>
      </x:c>
      <x:c r="AB6" s="31" t="str">
        <x:f>IF(AND(COUNT(I6)&gt;0,I6&gt;0,OR(R6="",R6="UNRESOLVED",P6="",Q6="")),"UNRESOLVED_SOURCE_PROVENANCE","CLEAR")</x:f>
        <x:v>CLEAR</x:v>
      </x:c>
      <x:c r="AC6" s="31" t="str">
        <x:f>IF(OR(AND(R6&lt;&gt;"",COUNTIF(Guide!$D$5:$D$11,R6)=0),AND(R6="UNPAID_SUPPLIER",LEFT(Q6,3)&lt;&gt;"AP:"),AND(R6="OWNER_CONTRIBUTED",LEFT(Q6,6)&lt;&gt;"OWNER:")),"CONFLICTING_SOURCE_EVIDENCE","CLEAR")</x:f>
        <x:v>CLEAR</x:v>
      </x:c>
      <x:c r="AD6" s="31" t="str">
        <x:f>IF(Y6="PASS","CLEAR","INVALID_UOM")</x:f>
        <x:v>CLEAR</x:v>
      </x:c>
      <x:c r="AE6" s="31" t="str">
        <x:f>IF(COUNT(I6)=0,"CLEAR",IF(ROUND(I6,6)&lt;&gt;I6,"INVALID_DECIMAL_PRECISION",IF(COUNT(L6)=0,"CLEAR",IF(ROUND(L6,10)&lt;&gt;L6,"INVALID_DECIMAL_PRECISION","CLEAR"))))</x:f>
        <x:v>CLEAR</x:v>
      </x:c>
      <x:c r="AF6" s="31" t="str">
        <x:f>IF(COUNT(I6)=0,"CLEAR",IF(I6=0,IF(AND(COUNT(L6)=0,M6=0),"CLEAR","INVALID_TOTAL_VALUE"),IF(OR(COUNT(L6)=0,M6="",M6&lt;&gt;ROUND(I6*L6,0),M6&lt;&gt;ROUND(M6,0)),"INVALID_TOTAL_VALUE","CLEAR")))</x:f>
        <x:v>CLEAR</x:v>
      </x:c>
      <x:c r="AG6" s="31" t="str">
        <x:f>IF(Z6&lt;&gt;"CLEAR","DRAFT",IF(OR(AD6&lt;&gt;"CLEAR",AE6&lt;&gt;"CLEAR",J6&lt;DATE(2026,9,30),J6&gt;=DATE(2026,10,1)),"DRAFT",IF(I6=0,"COUNT_VERIFIED",IF(AA6&lt;&gt;"CLEAR","COUNT_VERIFIED",IF(AB6&lt;&gt;"CLEAR","NEEDS_SOURCE_EVIDENCE",IF(AC6&lt;&gt;"CLEAR","CLASSIFICATION_CONFLICT",IF(OR(S6="",T6="",U6="",V6="",S6=U6,V6&lt;=T6),"VALUATION_VERIFIED","READY_FOR_ACCOUNTING_REVIEW")))))))</x:f>
        <x:v>DRAFT</x:v>
      </x:c>
      <x:c r="AH6" s="31" t="str">
        <x:f>IF(COUNTIF(Z6:AF6,"&lt;&gt;CLEAR")=0,"CLEAR","REVIEW_REQUIRED")</x:f>
        <x:v>REVIEW_REQUIRED</x:v>
      </x:c>
      <x:c r="AI6" s="24" t="str">
        <x:v>SINGLE_OPERATOR_VERIFIED</x:v>
      </x:c>
    </x:row>
    <x:row r="7" ht="54" customHeight="1">
      <x:c r="A7" s="24" t="str">
        <x:v>OPEN-ING-006-MAIN-20260930-V01</x:v>
      </x:c>
      <x:c r="B7" s="24" t="str">
        <x:v>INV-OPEN-20261001-V01</x:v>
      </x:c>
      <x:c r="C7" s="25" t="n">
        <x:v>46295</x:v>
      </x:c>
      <x:c r="D7" s="24" t="str">
        <x:v>MAIN</x:v>
      </x:c>
      <x:c r="E7" s="24" t="str">
        <x:v>ING-006</x:v>
      </x:c>
      <x:c r="F7" s="24" t="str">
        <x:v>Bean Robusta</x:v>
      </x:c>
      <x:c r="G7" s="24" t="str">
        <x:v>gr</x:v>
      </x:c>
      <x:c r="H7" s="24" t="str">
        <x:v>CONV-ATT-ING-006-V01 | bag → gr | 1000:1 | ING-006|INTERNAL-SHOPEE-CHANNEL|Bean Robusta|NO-SKU|plastic bag 1000 gr|V01 | Effective 2026-10-01</x:v>
      </x:c>
      <x:c r="I7" s="26"/>
      <x:c r="J7" s="27"/>
      <x:c r="K7" s="28"/>
      <x:c r="L7" s="29"/>
      <x:c r="M7" s="30" t="str">
        <x:f>IF(COUNT(I7)=0,"",IF(I7=0,0,IF(COUNT(L7)=0,"",ROUND(I7*L7,0))))</x:f>
      </x:c>
      <x:c r="N7" s="28"/>
      <x:c r="O7" s="28"/>
      <x:c r="P7" s="28"/>
      <x:c r="Q7" s="28"/>
      <x:c r="R7" s="28"/>
      <x:c r="S7" s="28"/>
      <x:c r="T7" s="27"/>
      <x:c r="U7" s="28"/>
      <x:c r="V7" s="27"/>
      <x:c r="W7" s="31" t="str">
        <x:f>AG7</x:f>
        <x:v>DRAFT</x:v>
      </x:c>
      <x:c r="X7" s="28"/>
      <x:c r="Y7" s="31" t="str">
        <x:f>IF(G7=Authorities!C6,"PASS","INVALID_UOM")</x:f>
        <x:v>PASS</x:v>
      </x:c>
      <x:c r="Z7" s="31" t="str">
        <x:f>IF(OR(COUNT(I7)=0,J7="",K7=""),"MISSING_COUNT_EVIDENCE","CLEAR")</x:f>
        <x:v>MISSING_COUNT_EVIDENCE</x:v>
      </x:c>
      <x:c r="AA7" s="31" t="str">
        <x:f>IF(AND(COUNT(I7)&gt;0,I7&gt;0,OR(COUNT(L7)=0,N7="",O7="")),"MISSING_VALUATION_EVIDENCE","CLEAR")</x:f>
        <x:v>CLEAR</x:v>
      </x:c>
      <x:c r="AB7" s="31" t="str">
        <x:f>IF(AND(COUNT(I7)&gt;0,I7&gt;0,OR(R7="",R7="UNRESOLVED",P7="",Q7="")),"UNRESOLVED_SOURCE_PROVENANCE","CLEAR")</x:f>
        <x:v>CLEAR</x:v>
      </x:c>
      <x:c r="AC7" s="31" t="str">
        <x:f>IF(OR(AND(R7&lt;&gt;"",COUNTIF(Guide!$D$5:$D$11,R7)=0),AND(R7="UNPAID_SUPPLIER",LEFT(Q7,3)&lt;&gt;"AP:"),AND(R7="OWNER_CONTRIBUTED",LEFT(Q7,6)&lt;&gt;"OWNER:")),"CONFLICTING_SOURCE_EVIDENCE","CLEAR")</x:f>
        <x:v>CLEAR</x:v>
      </x:c>
      <x:c r="AD7" s="31" t="str">
        <x:f>IF(Y7="PASS","CLEAR","INVALID_UOM")</x:f>
        <x:v>CLEAR</x:v>
      </x:c>
      <x:c r="AE7" s="31" t="str">
        <x:f>IF(COUNT(I7)=0,"CLEAR",IF(ROUND(I7,6)&lt;&gt;I7,"INVALID_DECIMAL_PRECISION",IF(COUNT(L7)=0,"CLEAR",IF(ROUND(L7,10)&lt;&gt;L7,"INVALID_DECIMAL_PRECISION","CLEAR"))))</x:f>
        <x:v>CLEAR</x:v>
      </x:c>
      <x:c r="AF7" s="31" t="str">
        <x:f>IF(COUNT(I7)=0,"CLEAR",IF(I7=0,IF(AND(COUNT(L7)=0,M7=0),"CLEAR","INVALID_TOTAL_VALUE"),IF(OR(COUNT(L7)=0,M7="",M7&lt;&gt;ROUND(I7*L7,0),M7&lt;&gt;ROUND(M7,0)),"INVALID_TOTAL_VALUE","CLEAR")))</x:f>
        <x:v>CLEAR</x:v>
      </x:c>
      <x:c r="AG7" s="31" t="str">
        <x:f>IF(Z7&lt;&gt;"CLEAR","DRAFT",IF(OR(AD7&lt;&gt;"CLEAR",AE7&lt;&gt;"CLEAR",J7&lt;DATE(2026,9,30),J7&gt;=DATE(2026,10,1)),"DRAFT",IF(I7=0,"COUNT_VERIFIED",IF(AA7&lt;&gt;"CLEAR","COUNT_VERIFIED",IF(AB7&lt;&gt;"CLEAR","NEEDS_SOURCE_EVIDENCE",IF(AC7&lt;&gt;"CLEAR","CLASSIFICATION_CONFLICT",IF(OR(S7="",T7="",U7="",V7="",S7=U7,V7&lt;=T7),"VALUATION_VERIFIED","READY_FOR_ACCOUNTING_REVIEW")))))))</x:f>
        <x:v>DRAFT</x:v>
      </x:c>
      <x:c r="AH7" s="31" t="str">
        <x:f>IF(COUNTIF(Z7:AF7,"&lt;&gt;CLEAR")=0,"CLEAR","REVIEW_REQUIRED")</x:f>
        <x:v>REVIEW_REQUIRED</x:v>
      </x:c>
      <x:c r="AI7" s="24" t="str">
        <x:v>SINGLE_OPERATOR_VERIFIED</x:v>
      </x:c>
    </x:row>
    <x:row r="8" ht="54" customHeight="1">
      <x:c r="A8" s="24" t="str">
        <x:v>OPEN-ING-007-MAIN-20260930-V01</x:v>
      </x:c>
      <x:c r="B8" s="24" t="str">
        <x:v>INV-OPEN-20261001-V01</x:v>
      </x:c>
      <x:c r="C8" s="25" t="n">
        <x:v>46295</x:v>
      </x:c>
      <x:c r="D8" s="24" t="str">
        <x:v>MAIN</x:v>
      </x:c>
      <x:c r="E8" s="24" t="str">
        <x:v>ING-007</x:v>
      </x:c>
      <x:c r="F8" s="24" t="str">
        <x:v>Kopi Badau</x:v>
      </x:c>
      <x:c r="G8" s="24" t="str">
        <x:v>gr</x:v>
      </x:c>
      <x:c r="H8" s="24" t="str">
        <x:v>CONV-ATT-ING-007-V01 | bag → gr | 420:1 | ING-007|INTERNAL-KELONTONG|Kopi Badau|NO-SKU|plastic bag 420 gr|V01 | Effective 2026-10-01</x:v>
      </x:c>
      <x:c r="I8" s="26"/>
      <x:c r="J8" s="27"/>
      <x:c r="K8" s="28"/>
      <x:c r="L8" s="29"/>
      <x:c r="M8" s="30" t="str">
        <x:f>IF(COUNT(I8)=0,"",IF(I8=0,0,IF(COUNT(L8)=0,"",ROUND(I8*L8,0))))</x:f>
      </x:c>
      <x:c r="N8" s="28"/>
      <x:c r="O8" s="28"/>
      <x:c r="P8" s="28"/>
      <x:c r="Q8" s="28"/>
      <x:c r="R8" s="28"/>
      <x:c r="S8" s="28"/>
      <x:c r="T8" s="27"/>
      <x:c r="U8" s="28"/>
      <x:c r="V8" s="27"/>
      <x:c r="W8" s="31" t="str">
        <x:f>AG8</x:f>
        <x:v>DRAFT</x:v>
      </x:c>
      <x:c r="X8" s="28"/>
      <x:c r="Y8" s="31" t="str">
        <x:f>IF(G8=Authorities!C7,"PASS","INVALID_UOM")</x:f>
        <x:v>PASS</x:v>
      </x:c>
      <x:c r="Z8" s="31" t="str">
        <x:f>IF(OR(COUNT(I8)=0,J8="",K8=""),"MISSING_COUNT_EVIDENCE","CLEAR")</x:f>
        <x:v>MISSING_COUNT_EVIDENCE</x:v>
      </x:c>
      <x:c r="AA8" s="31" t="str">
        <x:f>IF(AND(COUNT(I8)&gt;0,I8&gt;0,OR(COUNT(L8)=0,N8="",O8="")),"MISSING_VALUATION_EVIDENCE","CLEAR")</x:f>
        <x:v>CLEAR</x:v>
      </x:c>
      <x:c r="AB8" s="31" t="str">
        <x:f>IF(AND(COUNT(I8)&gt;0,I8&gt;0,OR(R8="",R8="UNRESOLVED",P8="",Q8="")),"UNRESOLVED_SOURCE_PROVENANCE","CLEAR")</x:f>
        <x:v>CLEAR</x:v>
      </x:c>
      <x:c r="AC8" s="31" t="str">
        <x:f>IF(OR(AND(R8&lt;&gt;"",COUNTIF(Guide!$D$5:$D$11,R8)=0),AND(R8="UNPAID_SUPPLIER",LEFT(Q8,3)&lt;&gt;"AP:"),AND(R8="OWNER_CONTRIBUTED",LEFT(Q8,6)&lt;&gt;"OWNER:")),"CONFLICTING_SOURCE_EVIDENCE","CLEAR")</x:f>
        <x:v>CLEAR</x:v>
      </x:c>
      <x:c r="AD8" s="31" t="str">
        <x:f>IF(Y8="PASS","CLEAR","INVALID_UOM")</x:f>
        <x:v>CLEAR</x:v>
      </x:c>
      <x:c r="AE8" s="31" t="str">
        <x:f>IF(COUNT(I8)=0,"CLEAR",IF(ROUND(I8,6)&lt;&gt;I8,"INVALID_DECIMAL_PRECISION",IF(COUNT(L8)=0,"CLEAR",IF(ROUND(L8,10)&lt;&gt;L8,"INVALID_DECIMAL_PRECISION","CLEAR"))))</x:f>
        <x:v>CLEAR</x:v>
      </x:c>
      <x:c r="AF8" s="31" t="str">
        <x:f>IF(COUNT(I8)=0,"CLEAR",IF(I8=0,IF(AND(COUNT(L8)=0,M8=0),"CLEAR","INVALID_TOTAL_VALUE"),IF(OR(COUNT(L8)=0,M8="",M8&lt;&gt;ROUND(I8*L8,0),M8&lt;&gt;ROUND(M8,0)),"INVALID_TOTAL_VALUE","CLEAR")))</x:f>
        <x:v>CLEAR</x:v>
      </x:c>
      <x:c r="AG8" s="31" t="str">
        <x:f>IF(Z8&lt;&gt;"CLEAR","DRAFT",IF(OR(AD8&lt;&gt;"CLEAR",AE8&lt;&gt;"CLEAR",J8&lt;DATE(2026,9,30),J8&gt;=DATE(2026,10,1)),"DRAFT",IF(I8=0,"COUNT_VERIFIED",IF(AA8&lt;&gt;"CLEAR","COUNT_VERIFIED",IF(AB8&lt;&gt;"CLEAR","NEEDS_SOURCE_EVIDENCE",IF(AC8&lt;&gt;"CLEAR","CLASSIFICATION_CONFLICT",IF(OR(S8="",T8="",U8="",V8="",S8=U8,V8&lt;=T8),"VALUATION_VERIFIED","READY_FOR_ACCOUNTING_REVIEW")))))))</x:f>
        <x:v>DRAFT</x:v>
      </x:c>
      <x:c r="AH8" s="31" t="str">
        <x:f>IF(COUNTIF(Z8:AF8,"&lt;&gt;CLEAR")=0,"CLEAR","REVIEW_REQUIRED")</x:f>
        <x:v>REVIEW_REQUIRED</x:v>
      </x:c>
      <x:c r="AI8" s="24" t="str">
        <x:v>SINGLE_OPERATOR_VERIFIED</x:v>
      </x:c>
    </x:row>
    <x:row r="9" ht="54" customHeight="1">
      <x:c r="A9" s="24" t="str">
        <x:v>OPEN-ING-008-MAIN-20260930-V01</x:v>
      </x:c>
      <x:c r="B9" s="24" t="str">
        <x:v>INV-OPEN-20261001-V01</x:v>
      </x:c>
      <x:c r="C9" s="25" t="n">
        <x:v>46295</x:v>
      </x:c>
      <x:c r="D9" s="24" t="str">
        <x:v>MAIN</x:v>
      </x:c>
      <x:c r="E9" s="24" t="str">
        <x:v>ING-008</x:v>
      </x:c>
      <x:c r="F9" s="24" t="str">
        <x:v>Kopi Kingkong</x:v>
      </x:c>
      <x:c r="G9" s="24" t="str">
        <x:v>gr</x:v>
      </x:c>
      <x:c r="H9" s="24" t="str">
        <x:v>CONV-ATT-ING-008-V01 | bag → gr | 400:1 | ING-008|INTERNAL-KELONTONG|Kopi Kingkong|NO-SKU|plastic bag 400 gr|V01 | Effective 2026-10-01</x:v>
      </x:c>
      <x:c r="I9" s="26"/>
      <x:c r="J9" s="27"/>
      <x:c r="K9" s="28"/>
      <x:c r="L9" s="29"/>
      <x:c r="M9" s="30" t="str">
        <x:f>IF(COUNT(I9)=0,"",IF(I9=0,0,IF(COUNT(L9)=0,"",ROUND(I9*L9,0))))</x:f>
      </x:c>
      <x:c r="N9" s="28"/>
      <x:c r="O9" s="28"/>
      <x:c r="P9" s="28"/>
      <x:c r="Q9" s="28"/>
      <x:c r="R9" s="28"/>
      <x:c r="S9" s="28"/>
      <x:c r="T9" s="27"/>
      <x:c r="U9" s="28"/>
      <x:c r="V9" s="27"/>
      <x:c r="W9" s="31" t="str">
        <x:f>AG9</x:f>
        <x:v>DRAFT</x:v>
      </x:c>
      <x:c r="X9" s="28"/>
      <x:c r="Y9" s="31" t="str">
        <x:f>IF(G9=Authorities!C8,"PASS","INVALID_UOM")</x:f>
        <x:v>PASS</x:v>
      </x:c>
      <x:c r="Z9" s="31" t="str">
        <x:f>IF(OR(COUNT(I9)=0,J9="",K9=""),"MISSING_COUNT_EVIDENCE","CLEAR")</x:f>
        <x:v>MISSING_COUNT_EVIDENCE</x:v>
      </x:c>
      <x:c r="AA9" s="31" t="str">
        <x:f>IF(AND(COUNT(I9)&gt;0,I9&gt;0,OR(COUNT(L9)=0,N9="",O9="")),"MISSING_VALUATION_EVIDENCE","CLEAR")</x:f>
        <x:v>CLEAR</x:v>
      </x:c>
      <x:c r="AB9" s="31" t="str">
        <x:f>IF(AND(COUNT(I9)&gt;0,I9&gt;0,OR(R9="",R9="UNRESOLVED",P9="",Q9="")),"UNRESOLVED_SOURCE_PROVENANCE","CLEAR")</x:f>
        <x:v>CLEAR</x:v>
      </x:c>
      <x:c r="AC9" s="31" t="str">
        <x:f>IF(OR(AND(R9&lt;&gt;"",COUNTIF(Guide!$D$5:$D$11,R9)=0),AND(R9="UNPAID_SUPPLIER",LEFT(Q9,3)&lt;&gt;"AP:"),AND(R9="OWNER_CONTRIBUTED",LEFT(Q9,6)&lt;&gt;"OWNER:")),"CONFLICTING_SOURCE_EVIDENCE","CLEAR")</x:f>
        <x:v>CLEAR</x:v>
      </x:c>
      <x:c r="AD9" s="31" t="str">
        <x:f>IF(Y9="PASS","CLEAR","INVALID_UOM")</x:f>
        <x:v>CLEAR</x:v>
      </x:c>
      <x:c r="AE9" s="31" t="str">
        <x:f>IF(COUNT(I9)=0,"CLEAR",IF(ROUND(I9,6)&lt;&gt;I9,"INVALID_DECIMAL_PRECISION",IF(COUNT(L9)=0,"CLEAR",IF(ROUND(L9,10)&lt;&gt;L9,"INVALID_DECIMAL_PRECISION","CLEAR"))))</x:f>
        <x:v>CLEAR</x:v>
      </x:c>
      <x:c r="AF9" s="31" t="str">
        <x:f>IF(COUNT(I9)=0,"CLEAR",IF(I9=0,IF(AND(COUNT(L9)=0,M9=0),"CLEAR","INVALID_TOTAL_VALUE"),IF(OR(COUNT(L9)=0,M9="",M9&lt;&gt;ROUND(I9*L9,0),M9&lt;&gt;ROUND(M9,0)),"INVALID_TOTAL_VALUE","CLEAR")))</x:f>
        <x:v>CLEAR</x:v>
      </x:c>
      <x:c r="AG9" s="31" t="str">
        <x:f>IF(Z9&lt;&gt;"CLEAR","DRAFT",IF(OR(AD9&lt;&gt;"CLEAR",AE9&lt;&gt;"CLEAR",J9&lt;DATE(2026,9,30),J9&gt;=DATE(2026,10,1)),"DRAFT",IF(I9=0,"COUNT_VERIFIED",IF(AA9&lt;&gt;"CLEAR","COUNT_VERIFIED",IF(AB9&lt;&gt;"CLEAR","NEEDS_SOURCE_EVIDENCE",IF(AC9&lt;&gt;"CLEAR","CLASSIFICATION_CONFLICT",IF(OR(S9="",T9="",U9="",V9="",S9=U9,V9&lt;=T9),"VALUATION_VERIFIED","READY_FOR_ACCOUNTING_REVIEW")))))))</x:f>
        <x:v>DRAFT</x:v>
      </x:c>
      <x:c r="AH9" s="31" t="str">
        <x:f>IF(COUNTIF(Z9:AF9,"&lt;&gt;CLEAR")=0,"CLEAR","REVIEW_REQUIRED")</x:f>
        <x:v>REVIEW_REQUIRED</x:v>
      </x:c>
      <x:c r="AI9" s="24" t="str">
        <x:v>SINGLE_OPERATOR_VERIFIED</x:v>
      </x:c>
    </x:row>
    <x:row r="10" ht="54" customHeight="1">
      <x:c r="A10" s="24" t="str">
        <x:v>OPEN-ING-009-MAIN-20260930-V01</x:v>
      </x:c>
      <x:c r="B10" s="24" t="str">
        <x:v>INV-OPEN-20261001-V01</x:v>
      </x:c>
      <x:c r="C10" s="25" t="n">
        <x:v>46295</x:v>
      </x:c>
      <x:c r="D10" s="24" t="str">
        <x:v>MAIN</x:v>
      </x:c>
      <x:c r="E10" s="24" t="str">
        <x:v>ING-009</x:v>
      </x:c>
      <x:c r="F10" s="24" t="str">
        <x:v>UHT</x:v>
      </x:c>
      <x:c r="G10" s="24" t="str">
        <x:v>ml</x:v>
      </x:c>
      <x:c r="H10" s="24" t="str">
        <x:v>CONV-ATT-ING-009-V01 | carton → ml | 12000:1 | ING-009|INTERNAL-KELONTONG|UHT|NO-SKU|carton 12 x 1 L boxes|V01 | Effective 2026-10-01</x:v>
      </x:c>
      <x:c r="I10" s="26"/>
      <x:c r="J10" s="27"/>
      <x:c r="K10" s="28"/>
      <x:c r="L10" s="29"/>
      <x:c r="M10" s="30" t="str">
        <x:f>IF(COUNT(I10)=0,"",IF(I10=0,0,IF(COUNT(L10)=0,"",ROUND(I10*L10,0))))</x:f>
      </x:c>
      <x:c r="N10" s="28"/>
      <x:c r="O10" s="28"/>
      <x:c r="P10" s="28"/>
      <x:c r="Q10" s="28"/>
      <x:c r="R10" s="28"/>
      <x:c r="S10" s="28"/>
      <x:c r="T10" s="27"/>
      <x:c r="U10" s="28"/>
      <x:c r="V10" s="27"/>
      <x:c r="W10" s="31" t="str">
        <x:f>AG10</x:f>
        <x:v>DRAFT</x:v>
      </x:c>
      <x:c r="X10" s="28"/>
      <x:c r="Y10" s="31" t="str">
        <x:f>IF(G10=Authorities!C9,"PASS","INVALID_UOM")</x:f>
        <x:v>PASS</x:v>
      </x:c>
      <x:c r="Z10" s="31" t="str">
        <x:f>IF(OR(COUNT(I10)=0,J10="",K10=""),"MISSING_COUNT_EVIDENCE","CLEAR")</x:f>
        <x:v>MISSING_COUNT_EVIDENCE</x:v>
      </x:c>
      <x:c r="AA10" s="31" t="str">
        <x:f>IF(AND(COUNT(I10)&gt;0,I10&gt;0,OR(COUNT(L10)=0,N10="",O10="")),"MISSING_VALUATION_EVIDENCE","CLEAR")</x:f>
        <x:v>CLEAR</x:v>
      </x:c>
      <x:c r="AB10" s="31" t="str">
        <x:f>IF(AND(COUNT(I10)&gt;0,I10&gt;0,OR(R10="",R10="UNRESOLVED",P10="",Q10="")),"UNRESOLVED_SOURCE_PROVENANCE","CLEAR")</x:f>
        <x:v>CLEAR</x:v>
      </x:c>
      <x:c r="AC10" s="31" t="str">
        <x:f>IF(OR(AND(R10&lt;&gt;"",COUNTIF(Guide!$D$5:$D$11,R10)=0),AND(R10="UNPAID_SUPPLIER",LEFT(Q10,3)&lt;&gt;"AP:"),AND(R10="OWNER_CONTRIBUTED",LEFT(Q10,6)&lt;&gt;"OWNER:")),"CONFLICTING_SOURCE_EVIDENCE","CLEAR")</x:f>
        <x:v>CLEAR</x:v>
      </x:c>
      <x:c r="AD10" s="31" t="str">
        <x:f>IF(Y10="PASS","CLEAR","INVALID_UOM")</x:f>
        <x:v>CLEAR</x:v>
      </x:c>
      <x:c r="AE10" s="31" t="str">
        <x:f>IF(COUNT(I10)=0,"CLEAR",IF(ROUND(I10,6)&lt;&gt;I10,"INVALID_DECIMAL_PRECISION",IF(COUNT(L10)=0,"CLEAR",IF(ROUND(L10,10)&lt;&gt;L10,"INVALID_DECIMAL_PRECISION","CLEAR"))))</x:f>
        <x:v>CLEAR</x:v>
      </x:c>
      <x:c r="AF10" s="31" t="str">
        <x:f>IF(COUNT(I10)=0,"CLEAR",IF(I10=0,IF(AND(COUNT(L10)=0,M10=0),"CLEAR","INVALID_TOTAL_VALUE"),IF(OR(COUNT(L10)=0,M10="",M10&lt;&gt;ROUND(I10*L10,0),M10&lt;&gt;ROUND(M10,0)),"INVALID_TOTAL_VALUE","CLEAR")))</x:f>
        <x:v>CLEAR</x:v>
      </x:c>
      <x:c r="AG10" s="31" t="str">
        <x:f>IF(Z10&lt;&gt;"CLEAR","DRAFT",IF(OR(AD10&lt;&gt;"CLEAR",AE10&lt;&gt;"CLEAR",J10&lt;DATE(2026,9,30),J10&gt;=DATE(2026,10,1)),"DRAFT",IF(I10=0,"COUNT_VERIFIED",IF(AA10&lt;&gt;"CLEAR","COUNT_VERIFIED",IF(AB10&lt;&gt;"CLEAR","NEEDS_SOURCE_EVIDENCE",IF(AC10&lt;&gt;"CLEAR","CLASSIFICATION_CONFLICT",IF(OR(S10="",T10="",U10="",V10="",S10=U10,V10&lt;=T10),"VALUATION_VERIFIED","READY_FOR_ACCOUNTING_REVIEW")))))))</x:f>
        <x:v>DRAFT</x:v>
      </x:c>
      <x:c r="AH10" s="31" t="str">
        <x:f>IF(COUNTIF(Z10:AF10,"&lt;&gt;CLEAR")=0,"CLEAR","REVIEW_REQUIRED")</x:f>
        <x:v>REVIEW_REQUIRED</x:v>
      </x:c>
      <x:c r="AI10" s="24" t="str">
        <x:v>SINGLE_OPERATOR_VERIFIED</x:v>
      </x:c>
    </x:row>
    <x:row r="11" ht="54" customHeight="1">
      <x:c r="A11" s="24" t="str">
        <x:v>OPEN-ING-010-MAIN-20260930-V01</x:v>
      </x:c>
      <x:c r="B11" s="24" t="str">
        <x:v>INV-OPEN-20261001-V01</x:v>
      </x:c>
      <x:c r="C11" s="25" t="n">
        <x:v>46295</x:v>
      </x:c>
      <x:c r="D11" s="24" t="str">
        <x:v>MAIN</x:v>
      </x:c>
      <x:c r="E11" s="24" t="str">
        <x:v>ING-010</x:v>
      </x:c>
      <x:c r="F11" s="24" t="str">
        <x:v>SKM</x:v>
      </x:c>
      <x:c r="G11" s="24" t="str">
        <x:v>gr</x:v>
      </x:c>
      <x:c r="H11" s="24" t="str">
        <x:v>CONV-ATT-ING-010-V01 | carton → gr | 11760:1 | ING-010|INTERNAL-KELONTONG|SKM|NO-SKU|carton 24 x 490 gr cans|V01 | Effective 2026-10-01</x:v>
      </x:c>
      <x:c r="I11" s="26"/>
      <x:c r="J11" s="27"/>
      <x:c r="K11" s="28"/>
      <x:c r="L11" s="29"/>
      <x:c r="M11" s="30" t="str">
        <x:f>IF(COUNT(I11)=0,"",IF(I11=0,0,IF(COUNT(L11)=0,"",ROUND(I11*L11,0))))</x:f>
      </x:c>
      <x:c r="N11" s="28"/>
      <x:c r="O11" s="28"/>
      <x:c r="P11" s="28"/>
      <x:c r="Q11" s="28"/>
      <x:c r="R11" s="28"/>
      <x:c r="S11" s="28"/>
      <x:c r="T11" s="27"/>
      <x:c r="U11" s="28"/>
      <x:c r="V11" s="27"/>
      <x:c r="W11" s="31" t="str">
        <x:f>AG11</x:f>
        <x:v>DRAFT</x:v>
      </x:c>
      <x:c r="X11" s="28"/>
      <x:c r="Y11" s="31" t="str">
        <x:f>IF(G11=Authorities!C10,"PASS","INVALID_UOM")</x:f>
        <x:v>PASS</x:v>
      </x:c>
      <x:c r="Z11" s="31" t="str">
        <x:f>IF(OR(COUNT(I11)=0,J11="",K11=""),"MISSING_COUNT_EVIDENCE","CLEAR")</x:f>
        <x:v>MISSING_COUNT_EVIDENCE</x:v>
      </x:c>
      <x:c r="AA11" s="31" t="str">
        <x:f>IF(AND(COUNT(I11)&gt;0,I11&gt;0,OR(COUNT(L11)=0,N11="",O11="")),"MISSING_VALUATION_EVIDENCE","CLEAR")</x:f>
        <x:v>CLEAR</x:v>
      </x:c>
      <x:c r="AB11" s="31" t="str">
        <x:f>IF(AND(COUNT(I11)&gt;0,I11&gt;0,OR(R11="",R11="UNRESOLVED",P11="",Q11="")),"UNRESOLVED_SOURCE_PROVENANCE","CLEAR")</x:f>
        <x:v>CLEAR</x:v>
      </x:c>
      <x:c r="AC11" s="31" t="str">
        <x:f>IF(OR(AND(R11&lt;&gt;"",COUNTIF(Guide!$D$5:$D$11,R11)=0),AND(R11="UNPAID_SUPPLIER",LEFT(Q11,3)&lt;&gt;"AP:"),AND(R11="OWNER_CONTRIBUTED",LEFT(Q11,6)&lt;&gt;"OWNER:")),"CONFLICTING_SOURCE_EVIDENCE","CLEAR")</x:f>
        <x:v>CLEAR</x:v>
      </x:c>
      <x:c r="AD11" s="31" t="str">
        <x:f>IF(Y11="PASS","CLEAR","INVALID_UOM")</x:f>
        <x:v>CLEAR</x:v>
      </x:c>
      <x:c r="AE11" s="31" t="str">
        <x:f>IF(COUNT(I11)=0,"CLEAR",IF(ROUND(I11,6)&lt;&gt;I11,"INVALID_DECIMAL_PRECISION",IF(COUNT(L11)=0,"CLEAR",IF(ROUND(L11,10)&lt;&gt;L11,"INVALID_DECIMAL_PRECISION","CLEAR"))))</x:f>
        <x:v>CLEAR</x:v>
      </x:c>
      <x:c r="AF11" s="31" t="str">
        <x:f>IF(COUNT(I11)=0,"CLEAR",IF(I11=0,IF(AND(COUNT(L11)=0,M11=0),"CLEAR","INVALID_TOTAL_VALUE"),IF(OR(COUNT(L11)=0,M11="",M11&lt;&gt;ROUND(I11*L11,0),M11&lt;&gt;ROUND(M11,0)),"INVALID_TOTAL_VALUE","CLEAR")))</x:f>
        <x:v>CLEAR</x:v>
      </x:c>
      <x:c r="AG11" s="31" t="str">
        <x:f>IF(Z11&lt;&gt;"CLEAR","DRAFT",IF(OR(AD11&lt;&gt;"CLEAR",AE11&lt;&gt;"CLEAR",J11&lt;DATE(2026,9,30),J11&gt;=DATE(2026,10,1)),"DRAFT",IF(I11=0,"COUNT_VERIFIED",IF(AA11&lt;&gt;"CLEAR","COUNT_VERIFIED",IF(AB11&lt;&gt;"CLEAR","NEEDS_SOURCE_EVIDENCE",IF(AC11&lt;&gt;"CLEAR","CLASSIFICATION_CONFLICT",IF(OR(S11="",T11="",U11="",V11="",S11=U11,V11&lt;=T11),"VALUATION_VERIFIED","READY_FOR_ACCOUNTING_REVIEW")))))))</x:f>
        <x:v>DRAFT</x:v>
      </x:c>
      <x:c r="AH11" s="31" t="str">
        <x:f>IF(COUNTIF(Z11:AF11,"&lt;&gt;CLEAR")=0,"CLEAR","REVIEW_REQUIRED")</x:f>
        <x:v>REVIEW_REQUIRED</x:v>
      </x:c>
      <x:c r="AI11" s="24" t="str">
        <x:v>SINGLE_OPERATOR_VERIFIED</x:v>
      </x:c>
    </x:row>
    <x:row r="12" ht="54" customHeight="1">
      <x:c r="A12" s="24" t="str">
        <x:v>OPEN-ING-011-MAIN-20260930-V01</x:v>
      </x:c>
      <x:c r="B12" s="24" t="str">
        <x:v>INV-OPEN-20261001-V01</x:v>
      </x:c>
      <x:c r="C12" s="25" t="n">
        <x:v>46295</x:v>
      </x:c>
      <x:c r="D12" s="24" t="str">
        <x:v>MAIN</x:v>
      </x:c>
      <x:c r="E12" s="24" t="str">
        <x:v>ING-011</x:v>
      </x:c>
      <x:c r="F12" s="24" t="str">
        <x:v>Air</x:v>
      </x:c>
      <x:c r="G12" s="24" t="str">
        <x:v>ml</x:v>
      </x:c>
      <x:c r="H12" s="24" t="str">
        <x:v>CONV-ATT-ING-011-V01 | gallon → ml | 19000:1 | ING-011|INTERNAL-DEPOT|Air|NO-SKU|19 L gallon|V01 | Effective 2026-10-01</x:v>
      </x:c>
      <x:c r="I12" s="26"/>
      <x:c r="J12" s="27"/>
      <x:c r="K12" s="28"/>
      <x:c r="L12" s="29"/>
      <x:c r="M12" s="30" t="str">
        <x:f>IF(COUNT(I12)=0,"",IF(I12=0,0,IF(COUNT(L12)=0,"",ROUND(I12*L12,0))))</x:f>
      </x:c>
      <x:c r="N12" s="28"/>
      <x:c r="O12" s="28"/>
      <x:c r="P12" s="28"/>
      <x:c r="Q12" s="28"/>
      <x:c r="R12" s="28"/>
      <x:c r="S12" s="28"/>
      <x:c r="T12" s="27"/>
      <x:c r="U12" s="28"/>
      <x:c r="V12" s="27"/>
      <x:c r="W12" s="31" t="str">
        <x:f>AG12</x:f>
        <x:v>DRAFT</x:v>
      </x:c>
      <x:c r="X12" s="28"/>
      <x:c r="Y12" s="31" t="str">
        <x:f>IF(G12=Authorities!C11,"PASS","INVALID_UOM")</x:f>
        <x:v>PASS</x:v>
      </x:c>
      <x:c r="Z12" s="31" t="str">
        <x:f>IF(OR(COUNT(I12)=0,J12="",K12=""),"MISSING_COUNT_EVIDENCE","CLEAR")</x:f>
        <x:v>MISSING_COUNT_EVIDENCE</x:v>
      </x:c>
      <x:c r="AA12" s="31" t="str">
        <x:f>IF(AND(COUNT(I12)&gt;0,I12&gt;0,OR(COUNT(L12)=0,N12="",O12="")),"MISSING_VALUATION_EVIDENCE","CLEAR")</x:f>
        <x:v>CLEAR</x:v>
      </x:c>
      <x:c r="AB12" s="31" t="str">
        <x:f>IF(AND(COUNT(I12)&gt;0,I12&gt;0,OR(R12="",R12="UNRESOLVED",P12="",Q12="")),"UNRESOLVED_SOURCE_PROVENANCE","CLEAR")</x:f>
        <x:v>CLEAR</x:v>
      </x:c>
      <x:c r="AC12" s="31" t="str">
        <x:f>IF(OR(AND(R12&lt;&gt;"",COUNTIF(Guide!$D$5:$D$11,R12)=0),AND(R12="UNPAID_SUPPLIER",LEFT(Q12,3)&lt;&gt;"AP:"),AND(R12="OWNER_CONTRIBUTED",LEFT(Q12,6)&lt;&gt;"OWNER:")),"CONFLICTING_SOURCE_EVIDENCE","CLEAR")</x:f>
        <x:v>CLEAR</x:v>
      </x:c>
      <x:c r="AD12" s="31" t="str">
        <x:f>IF(Y12="PASS","CLEAR","INVALID_UOM")</x:f>
        <x:v>CLEAR</x:v>
      </x:c>
      <x:c r="AE12" s="31" t="str">
        <x:f>IF(COUNT(I12)=0,"CLEAR",IF(ROUND(I12,6)&lt;&gt;I12,"INVALID_DECIMAL_PRECISION",IF(COUNT(L12)=0,"CLEAR",IF(ROUND(L12,10)&lt;&gt;L12,"INVALID_DECIMAL_PRECISION","CLEAR"))))</x:f>
        <x:v>CLEAR</x:v>
      </x:c>
      <x:c r="AF12" s="31" t="str">
        <x:f>IF(COUNT(I12)=0,"CLEAR",IF(I12=0,IF(AND(COUNT(L12)=0,M12=0),"CLEAR","INVALID_TOTAL_VALUE"),IF(OR(COUNT(L12)=0,M12="",M12&lt;&gt;ROUND(I12*L12,0),M12&lt;&gt;ROUND(M12,0)),"INVALID_TOTAL_VALUE","CLEAR")))</x:f>
        <x:v>CLEAR</x:v>
      </x:c>
      <x:c r="AG12" s="31" t="str">
        <x:f>IF(Z12&lt;&gt;"CLEAR","DRAFT",IF(OR(AD12&lt;&gt;"CLEAR",AE12&lt;&gt;"CLEAR",J12&lt;DATE(2026,9,30),J12&gt;=DATE(2026,10,1)),"DRAFT",IF(I12=0,"COUNT_VERIFIED",IF(AA12&lt;&gt;"CLEAR","COUNT_VERIFIED",IF(AB12&lt;&gt;"CLEAR","NEEDS_SOURCE_EVIDENCE",IF(AC12&lt;&gt;"CLEAR","CLASSIFICATION_CONFLICT",IF(OR(S12="",T12="",U12="",V12="",S12=U12,V12&lt;=T12),"VALUATION_VERIFIED","READY_FOR_ACCOUNTING_REVIEW")))))))</x:f>
        <x:v>DRAFT</x:v>
      </x:c>
      <x:c r="AH12" s="31" t="str">
        <x:f>IF(COUNTIF(Z12:AF12,"&lt;&gt;CLEAR")=0,"CLEAR","REVIEW_REQUIRED")</x:f>
        <x:v>REVIEW_REQUIRED</x:v>
      </x:c>
      <x:c r="AI12" s="24" t="str">
        <x:v>SINGLE_OPERATOR_VERIFIED</x:v>
      </x:c>
    </x:row>
    <x:row r="13" ht="54" customHeight="1">
      <x:c r="A13" s="24" t="str">
        <x:v>OPEN-ING-012-MAIN-20260930-V01</x:v>
      </x:c>
      <x:c r="B13" s="24" t="str">
        <x:v>INV-OPEN-20261001-V01</x:v>
      </x:c>
      <x:c r="C13" s="25" t="n">
        <x:v>46295</x:v>
      </x:c>
      <x:c r="D13" s="24" t="str">
        <x:v>MAIN</x:v>
      </x:c>
      <x:c r="E13" s="24" t="str">
        <x:v>ING-012</x:v>
      </x:c>
      <x:c r="F13" s="24" t="str">
        <x:v>Teh Bendera</x:v>
      </x:c>
      <x:c r="G13" s="24" t="str">
        <x:v>gr</x:v>
      </x:c>
      <x:c r="H13" s="24" t="str">
        <x:v>CONV-ATT-ING-012-V01 | pack → gr | 500:1 | ING-012|INTERNAL-KELONTONG|Teh Bendera|NO-SKU|pack 10 x 50 gr boxes|V01 | Effective 2026-10-01</x:v>
      </x:c>
      <x:c r="I13" s="26"/>
      <x:c r="J13" s="27"/>
      <x:c r="K13" s="28"/>
      <x:c r="L13" s="29"/>
      <x:c r="M13" s="30" t="str">
        <x:f>IF(COUNT(I13)=0,"",IF(I13=0,0,IF(COUNT(L13)=0,"",ROUND(I13*L13,0))))</x:f>
      </x:c>
      <x:c r="N13" s="28"/>
      <x:c r="O13" s="28"/>
      <x:c r="P13" s="28"/>
      <x:c r="Q13" s="28"/>
      <x:c r="R13" s="28"/>
      <x:c r="S13" s="28"/>
      <x:c r="T13" s="27"/>
      <x:c r="U13" s="28"/>
      <x:c r="V13" s="27"/>
      <x:c r="W13" s="31" t="str">
        <x:f>AG13</x:f>
        <x:v>DRAFT</x:v>
      </x:c>
      <x:c r="X13" s="28"/>
      <x:c r="Y13" s="31" t="str">
        <x:f>IF(G13=Authorities!C12,"PASS","INVALID_UOM")</x:f>
        <x:v>PASS</x:v>
      </x:c>
      <x:c r="Z13" s="31" t="str">
        <x:f>IF(OR(COUNT(I13)=0,J13="",K13=""),"MISSING_COUNT_EVIDENCE","CLEAR")</x:f>
        <x:v>MISSING_COUNT_EVIDENCE</x:v>
      </x:c>
      <x:c r="AA13" s="31" t="str">
        <x:f>IF(AND(COUNT(I13)&gt;0,I13&gt;0,OR(COUNT(L13)=0,N13="",O13="")),"MISSING_VALUATION_EVIDENCE","CLEAR")</x:f>
        <x:v>CLEAR</x:v>
      </x:c>
      <x:c r="AB13" s="31" t="str">
        <x:f>IF(AND(COUNT(I13)&gt;0,I13&gt;0,OR(R13="",R13="UNRESOLVED",P13="",Q13="")),"UNRESOLVED_SOURCE_PROVENANCE","CLEAR")</x:f>
        <x:v>CLEAR</x:v>
      </x:c>
      <x:c r="AC13" s="31" t="str">
        <x:f>IF(OR(AND(R13&lt;&gt;"",COUNTIF(Guide!$D$5:$D$11,R13)=0),AND(R13="UNPAID_SUPPLIER",LEFT(Q13,3)&lt;&gt;"AP:"),AND(R13="OWNER_CONTRIBUTED",LEFT(Q13,6)&lt;&gt;"OWNER:")),"CONFLICTING_SOURCE_EVIDENCE","CLEAR")</x:f>
        <x:v>CLEAR</x:v>
      </x:c>
      <x:c r="AD13" s="31" t="str">
        <x:f>IF(Y13="PASS","CLEAR","INVALID_UOM")</x:f>
        <x:v>CLEAR</x:v>
      </x:c>
      <x:c r="AE13" s="31" t="str">
        <x:f>IF(COUNT(I13)=0,"CLEAR",IF(ROUND(I13,6)&lt;&gt;I13,"INVALID_DECIMAL_PRECISION",IF(COUNT(L13)=0,"CLEAR",IF(ROUND(L13,10)&lt;&gt;L13,"INVALID_DECIMAL_PRECISION","CLEAR"))))</x:f>
        <x:v>CLEAR</x:v>
      </x:c>
      <x:c r="AF13" s="31" t="str">
        <x:f>IF(COUNT(I13)=0,"CLEAR",IF(I13=0,IF(AND(COUNT(L13)=0,M13=0),"CLEAR","INVALID_TOTAL_VALUE"),IF(OR(COUNT(L13)=0,M13="",M13&lt;&gt;ROUND(I13*L13,0),M13&lt;&gt;ROUND(M13,0)),"INVALID_TOTAL_VALUE","CLEAR")))</x:f>
        <x:v>CLEAR</x:v>
      </x:c>
      <x:c r="AG13" s="31" t="str">
        <x:f>IF(Z13&lt;&gt;"CLEAR","DRAFT",IF(OR(AD13&lt;&gt;"CLEAR",AE13&lt;&gt;"CLEAR",J13&lt;DATE(2026,9,30),J13&gt;=DATE(2026,10,1)),"DRAFT",IF(I13=0,"COUNT_VERIFIED",IF(AA13&lt;&gt;"CLEAR","COUNT_VERIFIED",IF(AB13&lt;&gt;"CLEAR","NEEDS_SOURCE_EVIDENCE",IF(AC13&lt;&gt;"CLEAR","CLASSIFICATION_CONFLICT",IF(OR(S13="",T13="",U13="",V13="",S13=U13,V13&lt;=T13),"VALUATION_VERIFIED","READY_FOR_ACCOUNTING_REVIEW")))))))</x:f>
        <x:v>DRAFT</x:v>
      </x:c>
      <x:c r="AH13" s="31" t="str">
        <x:f>IF(COUNTIF(Z13:AF13,"&lt;&gt;CLEAR")=0,"CLEAR","REVIEW_REQUIRED")</x:f>
        <x:v>REVIEW_REQUIRED</x:v>
      </x:c>
      <x:c r="AI13" s="24" t="str">
        <x:v>SINGLE_OPERATOR_VERIFIED</x:v>
      </x:c>
    </x:row>
    <x:row r="14" ht="54" customHeight="1">
      <x:c r="A14" s="24" t="str">
        <x:v>OPEN-ING-013-MAIN-20260930-V01</x:v>
      </x:c>
      <x:c r="B14" s="24" t="str">
        <x:v>INV-OPEN-20261001-V01</x:v>
      </x:c>
      <x:c r="C14" s="25" t="n">
        <x:v>46295</x:v>
      </x:c>
      <x:c r="D14" s="24" t="str">
        <x:v>MAIN</x:v>
      </x:c>
      <x:c r="E14" s="24" t="str">
        <x:v>ING-013</x:v>
      </x:c>
      <x:c r="F14" s="24" t="str">
        <x:v>Teh Poci</x:v>
      </x:c>
      <x:c r="G14" s="24" t="str">
        <x:v>gr</x:v>
      </x:c>
      <x:c r="H14" s="24" t="str">
        <x:v>CONV-ATT-ING-013-V01 | pack → gr | 500:1 | ING-013|INTERNAL-KELONTONG|Teh Poci|NO-SKU|pack 10 x 50 gr boxes|V01 | Effective 2026-10-01</x:v>
      </x:c>
      <x:c r="I14" s="26"/>
      <x:c r="J14" s="27"/>
      <x:c r="K14" s="28"/>
      <x:c r="L14" s="29"/>
      <x:c r="M14" s="30" t="str">
        <x:f>IF(COUNT(I14)=0,"",IF(I14=0,0,IF(COUNT(L14)=0,"",ROUND(I14*L14,0))))</x:f>
      </x:c>
      <x:c r="N14" s="28"/>
      <x:c r="O14" s="28"/>
      <x:c r="P14" s="28"/>
      <x:c r="Q14" s="28"/>
      <x:c r="R14" s="28"/>
      <x:c r="S14" s="28"/>
      <x:c r="T14" s="27"/>
      <x:c r="U14" s="28"/>
      <x:c r="V14" s="27"/>
      <x:c r="W14" s="31" t="str">
        <x:f>AG14</x:f>
        <x:v>DRAFT</x:v>
      </x:c>
      <x:c r="X14" s="28"/>
      <x:c r="Y14" s="31" t="str">
        <x:f>IF(G14=Authorities!C13,"PASS","INVALID_UOM")</x:f>
        <x:v>PASS</x:v>
      </x:c>
      <x:c r="Z14" s="31" t="str">
        <x:f>IF(OR(COUNT(I14)=0,J14="",K14=""),"MISSING_COUNT_EVIDENCE","CLEAR")</x:f>
        <x:v>MISSING_COUNT_EVIDENCE</x:v>
      </x:c>
      <x:c r="AA14" s="31" t="str">
        <x:f>IF(AND(COUNT(I14)&gt;0,I14&gt;0,OR(COUNT(L14)=0,N14="",O14="")),"MISSING_VALUATION_EVIDENCE","CLEAR")</x:f>
        <x:v>CLEAR</x:v>
      </x:c>
      <x:c r="AB14" s="31" t="str">
        <x:f>IF(AND(COUNT(I14)&gt;0,I14&gt;0,OR(R14="",R14="UNRESOLVED",P14="",Q14="")),"UNRESOLVED_SOURCE_PROVENANCE","CLEAR")</x:f>
        <x:v>CLEAR</x:v>
      </x:c>
      <x:c r="AC14" s="31" t="str">
        <x:f>IF(OR(AND(R14&lt;&gt;"",COUNTIF(Guide!$D$5:$D$11,R14)=0),AND(R14="UNPAID_SUPPLIER",LEFT(Q14,3)&lt;&gt;"AP:"),AND(R14="OWNER_CONTRIBUTED",LEFT(Q14,6)&lt;&gt;"OWNER:")),"CONFLICTING_SOURCE_EVIDENCE","CLEAR")</x:f>
        <x:v>CLEAR</x:v>
      </x:c>
      <x:c r="AD14" s="31" t="str">
        <x:f>IF(Y14="PASS","CLEAR","INVALID_UOM")</x:f>
        <x:v>CLEAR</x:v>
      </x:c>
      <x:c r="AE14" s="31" t="str">
        <x:f>IF(COUNT(I14)=0,"CLEAR",IF(ROUND(I14,6)&lt;&gt;I14,"INVALID_DECIMAL_PRECISION",IF(COUNT(L14)=0,"CLEAR",IF(ROUND(L14,10)&lt;&gt;L14,"INVALID_DECIMAL_PRECISION","CLEAR"))))</x:f>
        <x:v>CLEAR</x:v>
      </x:c>
      <x:c r="AF14" s="31" t="str">
        <x:f>IF(COUNT(I14)=0,"CLEAR",IF(I14=0,IF(AND(COUNT(L14)=0,M14=0),"CLEAR","INVALID_TOTAL_VALUE"),IF(OR(COUNT(L14)=0,M14="",M14&lt;&gt;ROUND(I14*L14,0),M14&lt;&gt;ROUND(M14,0)),"INVALID_TOTAL_VALUE","CLEAR")))</x:f>
        <x:v>CLEAR</x:v>
      </x:c>
      <x:c r="AG14" s="31" t="str">
        <x:f>IF(Z14&lt;&gt;"CLEAR","DRAFT",IF(OR(AD14&lt;&gt;"CLEAR",AE14&lt;&gt;"CLEAR",J14&lt;DATE(2026,9,30),J14&gt;=DATE(2026,10,1)),"DRAFT",IF(I14=0,"COUNT_VERIFIED",IF(AA14&lt;&gt;"CLEAR","COUNT_VERIFIED",IF(AB14&lt;&gt;"CLEAR","NEEDS_SOURCE_EVIDENCE",IF(AC14&lt;&gt;"CLEAR","CLASSIFICATION_CONFLICT",IF(OR(S14="",T14="",U14="",V14="",S14=U14,V14&lt;=T14),"VALUATION_VERIFIED","READY_FOR_ACCOUNTING_REVIEW")))))))</x:f>
        <x:v>DRAFT</x:v>
      </x:c>
      <x:c r="AH14" s="31" t="str">
        <x:f>IF(COUNTIF(Z14:AF14,"&lt;&gt;CLEAR")=0,"CLEAR","REVIEW_REQUIRED")</x:f>
        <x:v>REVIEW_REQUIRED</x:v>
      </x:c>
      <x:c r="AI14" s="24" t="str">
        <x:v>SINGLE_OPERATOR_VERIFIED</x:v>
      </x:c>
    </x:row>
    <x:row r="15" ht="54" customHeight="1">
      <x:c r="A15" s="24" t="str">
        <x:v>OPEN-ING-014-MAIN-20260930-V01</x:v>
      </x:c>
      <x:c r="B15" s="24" t="str">
        <x:v>INV-OPEN-20261001-V01</x:v>
      </x:c>
      <x:c r="C15" s="25" t="n">
        <x:v>46295</x:v>
      </x:c>
      <x:c r="D15" s="24" t="str">
        <x:v>MAIN</x:v>
      </x:c>
      <x:c r="E15" s="24" t="str">
        <x:v>ING-014</x:v>
      </x:c>
      <x:c r="F15" s="24" t="str">
        <x:v>Teh Zeppelin</x:v>
      </x:c>
      <x:c r="G15" s="24" t="str">
        <x:v>gr</x:v>
      </x:c>
      <x:c r="H15" s="24" t="str">
        <x:v>CONV-ATT-ING-014-V01 | pack → gr | 400:1 | ING-014|INTERNAL-KELONTONG|Teh Zeppelin|NO-SKU|400 gr pack|V01 | Effective 2026-10-01</x:v>
      </x:c>
      <x:c r="I15" s="26"/>
      <x:c r="J15" s="27"/>
      <x:c r="K15" s="28"/>
      <x:c r="L15" s="29"/>
      <x:c r="M15" s="30" t="str">
        <x:f>IF(COUNT(I15)=0,"",IF(I15=0,0,IF(COUNT(L15)=0,"",ROUND(I15*L15,0))))</x:f>
      </x:c>
      <x:c r="N15" s="28"/>
      <x:c r="O15" s="28"/>
      <x:c r="P15" s="28"/>
      <x:c r="Q15" s="28"/>
      <x:c r="R15" s="28"/>
      <x:c r="S15" s="28"/>
      <x:c r="T15" s="27"/>
      <x:c r="U15" s="28"/>
      <x:c r="V15" s="27"/>
      <x:c r="W15" s="31" t="str">
        <x:f>AG15</x:f>
        <x:v>DRAFT</x:v>
      </x:c>
      <x:c r="X15" s="28"/>
      <x:c r="Y15" s="31" t="str">
        <x:f>IF(G15=Authorities!C14,"PASS","INVALID_UOM")</x:f>
        <x:v>PASS</x:v>
      </x:c>
      <x:c r="Z15" s="31" t="str">
        <x:f>IF(OR(COUNT(I15)=0,J15="",K15=""),"MISSING_COUNT_EVIDENCE","CLEAR")</x:f>
        <x:v>MISSING_COUNT_EVIDENCE</x:v>
      </x:c>
      <x:c r="AA15" s="31" t="str">
        <x:f>IF(AND(COUNT(I15)&gt;0,I15&gt;0,OR(COUNT(L15)=0,N15="",O15="")),"MISSING_VALUATION_EVIDENCE","CLEAR")</x:f>
        <x:v>CLEAR</x:v>
      </x:c>
      <x:c r="AB15" s="31" t="str">
        <x:f>IF(AND(COUNT(I15)&gt;0,I15&gt;0,OR(R15="",R15="UNRESOLVED",P15="",Q15="")),"UNRESOLVED_SOURCE_PROVENANCE","CLEAR")</x:f>
        <x:v>CLEAR</x:v>
      </x:c>
      <x:c r="AC15" s="31" t="str">
        <x:f>IF(OR(AND(R15&lt;&gt;"",COUNTIF(Guide!$D$5:$D$11,R15)=0),AND(R15="UNPAID_SUPPLIER",LEFT(Q15,3)&lt;&gt;"AP:"),AND(R15="OWNER_CONTRIBUTED",LEFT(Q15,6)&lt;&gt;"OWNER:")),"CONFLICTING_SOURCE_EVIDENCE","CLEAR")</x:f>
        <x:v>CLEAR</x:v>
      </x:c>
      <x:c r="AD15" s="31" t="str">
        <x:f>IF(Y15="PASS","CLEAR","INVALID_UOM")</x:f>
        <x:v>CLEAR</x:v>
      </x:c>
      <x:c r="AE15" s="31" t="str">
        <x:f>IF(COUNT(I15)=0,"CLEAR",IF(ROUND(I15,6)&lt;&gt;I15,"INVALID_DECIMAL_PRECISION",IF(COUNT(L15)=0,"CLEAR",IF(ROUND(L15,10)&lt;&gt;L15,"INVALID_DECIMAL_PRECISION","CLEAR"))))</x:f>
        <x:v>CLEAR</x:v>
      </x:c>
      <x:c r="AF15" s="31" t="str">
        <x:f>IF(COUNT(I15)=0,"CLEAR",IF(I15=0,IF(AND(COUNT(L15)=0,M15=0),"CLEAR","INVALID_TOTAL_VALUE"),IF(OR(COUNT(L15)=0,M15="",M15&lt;&gt;ROUND(I15*L15,0),M15&lt;&gt;ROUND(M15,0)),"INVALID_TOTAL_VALUE","CLEAR")))</x:f>
        <x:v>CLEAR</x:v>
      </x:c>
      <x:c r="AG15" s="31" t="str">
        <x:f>IF(Z15&lt;&gt;"CLEAR","DRAFT",IF(OR(AD15&lt;&gt;"CLEAR",AE15&lt;&gt;"CLEAR",J15&lt;DATE(2026,9,30),J15&gt;=DATE(2026,10,1)),"DRAFT",IF(I15=0,"COUNT_VERIFIED",IF(AA15&lt;&gt;"CLEAR","COUNT_VERIFIED",IF(AB15&lt;&gt;"CLEAR","NEEDS_SOURCE_EVIDENCE",IF(AC15&lt;&gt;"CLEAR","CLASSIFICATION_CONFLICT",IF(OR(S15="",T15="",U15="",V15="",S15=U15,V15&lt;=T15),"VALUATION_VERIFIED","READY_FOR_ACCOUNTING_REVIEW")))))))</x:f>
        <x:v>DRAFT</x:v>
      </x:c>
      <x:c r="AH15" s="31" t="str">
        <x:f>IF(COUNTIF(Z15:AF15,"&lt;&gt;CLEAR")=0,"CLEAR","REVIEW_REQUIRED")</x:f>
        <x:v>REVIEW_REQUIRED</x:v>
      </x:c>
      <x:c r="AI15" s="24" t="str">
        <x:v>SINGLE_OPERATOR_VERIFIED</x:v>
      </x:c>
    </x:row>
    <x:row r="16" ht="54" customHeight="1">
      <x:c r="A16" s="24" t="str">
        <x:v>OPEN-ING-015-MAIN-20260930-V01</x:v>
      </x:c>
      <x:c r="B16" s="24" t="str">
        <x:v>INV-OPEN-20261001-V01</x:v>
      </x:c>
      <x:c r="C16" s="25" t="n">
        <x:v>46295</x:v>
      </x:c>
      <x:c r="D16" s="24" t="str">
        <x:v>MAIN</x:v>
      </x:c>
      <x:c r="E16" s="24" t="str">
        <x:v>ING-015</x:v>
      </x:c>
      <x:c r="F16" s="24" t="str">
        <x:v>Powder Choco</x:v>
      </x:c>
      <x:c r="G16" s="24" t="str">
        <x:v>gr</x:v>
      </x:c>
      <x:c r="H16" s="24" t="str">
        <x:v>CONV-ATT-ING-015-V01 | bag → gr | 500:1 | ING-015|INTERNAL-SHOPEE-CHANNEL|Powder Choco|NO-SKU|zipper bag 500 gr|V01 | Effective 2026-10-01</x:v>
      </x:c>
      <x:c r="I16" s="26"/>
      <x:c r="J16" s="27"/>
      <x:c r="K16" s="28"/>
      <x:c r="L16" s="29"/>
      <x:c r="M16" s="30" t="str">
        <x:f>IF(COUNT(I16)=0,"",IF(I16=0,0,IF(COUNT(L16)=0,"",ROUND(I16*L16,0))))</x:f>
      </x:c>
      <x:c r="N16" s="28"/>
      <x:c r="O16" s="28"/>
      <x:c r="P16" s="28"/>
      <x:c r="Q16" s="28"/>
      <x:c r="R16" s="28"/>
      <x:c r="S16" s="28"/>
      <x:c r="T16" s="27"/>
      <x:c r="U16" s="28"/>
      <x:c r="V16" s="27"/>
      <x:c r="W16" s="31" t="str">
        <x:f>AG16</x:f>
        <x:v>DRAFT</x:v>
      </x:c>
      <x:c r="X16" s="28"/>
      <x:c r="Y16" s="31" t="str">
        <x:f>IF(G16=Authorities!C15,"PASS","INVALID_UOM")</x:f>
        <x:v>PASS</x:v>
      </x:c>
      <x:c r="Z16" s="31" t="str">
        <x:f>IF(OR(COUNT(I16)=0,J16="",K16=""),"MISSING_COUNT_EVIDENCE","CLEAR")</x:f>
        <x:v>MISSING_COUNT_EVIDENCE</x:v>
      </x:c>
      <x:c r="AA16" s="31" t="str">
        <x:f>IF(AND(COUNT(I16)&gt;0,I16&gt;0,OR(COUNT(L16)=0,N16="",O16="")),"MISSING_VALUATION_EVIDENCE","CLEAR")</x:f>
        <x:v>CLEAR</x:v>
      </x:c>
      <x:c r="AB16" s="31" t="str">
        <x:f>IF(AND(COUNT(I16)&gt;0,I16&gt;0,OR(R16="",R16="UNRESOLVED",P16="",Q16="")),"UNRESOLVED_SOURCE_PROVENANCE","CLEAR")</x:f>
        <x:v>CLEAR</x:v>
      </x:c>
      <x:c r="AC16" s="31" t="str">
        <x:f>IF(OR(AND(R16&lt;&gt;"",COUNTIF(Guide!$D$5:$D$11,R16)=0),AND(R16="UNPAID_SUPPLIER",LEFT(Q16,3)&lt;&gt;"AP:"),AND(R16="OWNER_CONTRIBUTED",LEFT(Q16,6)&lt;&gt;"OWNER:")),"CONFLICTING_SOURCE_EVIDENCE","CLEAR")</x:f>
        <x:v>CLEAR</x:v>
      </x:c>
      <x:c r="AD16" s="31" t="str">
        <x:f>IF(Y16="PASS","CLEAR","INVALID_UOM")</x:f>
        <x:v>CLEAR</x:v>
      </x:c>
      <x:c r="AE16" s="31" t="str">
        <x:f>IF(COUNT(I16)=0,"CLEAR",IF(ROUND(I16,6)&lt;&gt;I16,"INVALID_DECIMAL_PRECISION",IF(COUNT(L16)=0,"CLEAR",IF(ROUND(L16,10)&lt;&gt;L16,"INVALID_DECIMAL_PRECISION","CLEAR"))))</x:f>
        <x:v>CLEAR</x:v>
      </x:c>
      <x:c r="AF16" s="31" t="str">
        <x:f>IF(COUNT(I16)=0,"CLEAR",IF(I16=0,IF(AND(COUNT(L16)=0,M16=0),"CLEAR","INVALID_TOTAL_VALUE"),IF(OR(COUNT(L16)=0,M16="",M16&lt;&gt;ROUND(I16*L16,0),M16&lt;&gt;ROUND(M16,0)),"INVALID_TOTAL_VALUE","CLEAR")))</x:f>
        <x:v>CLEAR</x:v>
      </x:c>
      <x:c r="AG16" s="31" t="str">
        <x:f>IF(Z16&lt;&gt;"CLEAR","DRAFT",IF(OR(AD16&lt;&gt;"CLEAR",AE16&lt;&gt;"CLEAR",J16&lt;DATE(2026,9,30),J16&gt;=DATE(2026,10,1)),"DRAFT",IF(I16=0,"COUNT_VERIFIED",IF(AA16&lt;&gt;"CLEAR","COUNT_VERIFIED",IF(AB16&lt;&gt;"CLEAR","NEEDS_SOURCE_EVIDENCE",IF(AC16&lt;&gt;"CLEAR","CLASSIFICATION_CONFLICT",IF(OR(S16="",T16="",U16="",V16="",S16=U16,V16&lt;=T16),"VALUATION_VERIFIED","READY_FOR_ACCOUNTING_REVIEW")))))))</x:f>
        <x:v>DRAFT</x:v>
      </x:c>
      <x:c r="AH16" s="31" t="str">
        <x:f>IF(COUNTIF(Z16:AF16,"&lt;&gt;CLEAR")=0,"CLEAR","REVIEW_REQUIRED")</x:f>
        <x:v>REVIEW_REQUIRED</x:v>
      </x:c>
      <x:c r="AI16" s="24" t="str">
        <x:v>SINGLE_OPERATOR_VERIFIED</x:v>
      </x:c>
    </x:row>
    <x:row r="17" ht="54" customHeight="1">
      <x:c r="A17" s="24" t="str">
        <x:v>OPEN-ING-016-MAIN-20260930-V01</x:v>
      </x:c>
      <x:c r="B17" s="24" t="str">
        <x:v>INV-OPEN-20261001-V01</x:v>
      </x:c>
      <x:c r="C17" s="25" t="n">
        <x:v>46295</x:v>
      </x:c>
      <x:c r="D17" s="24" t="str">
        <x:v>MAIN</x:v>
      </x:c>
      <x:c r="E17" s="24" t="str">
        <x:v>ING-016</x:v>
      </x:c>
      <x:c r="F17" s="24" t="str">
        <x:v>Powder Matcha</x:v>
      </x:c>
      <x:c r="G17" s="24" t="str">
        <x:v>gr</x:v>
      </x:c>
      <x:c r="H17" s="24" t="str">
        <x:v>CONV-ATT-ING-016-V01 | bag → gr | 100:1 | ING-016|INTERNAL-SHOPEE-CHANNEL|Powder Matcha|NO-SKU|zipper bag 100 gr|V01 | Effective 2026-10-01</x:v>
      </x:c>
      <x:c r="I17" s="26"/>
      <x:c r="J17" s="27"/>
      <x:c r="K17" s="28"/>
      <x:c r="L17" s="29"/>
      <x:c r="M17" s="30" t="str">
        <x:f>IF(COUNT(I17)=0,"",IF(I17=0,0,IF(COUNT(L17)=0,"",ROUND(I17*L17,0))))</x:f>
      </x:c>
      <x:c r="N17" s="28"/>
      <x:c r="O17" s="28"/>
      <x:c r="P17" s="28"/>
      <x:c r="Q17" s="28"/>
      <x:c r="R17" s="28"/>
      <x:c r="S17" s="28"/>
      <x:c r="T17" s="27"/>
      <x:c r="U17" s="28"/>
      <x:c r="V17" s="27"/>
      <x:c r="W17" s="31" t="str">
        <x:f>AG17</x:f>
        <x:v>DRAFT</x:v>
      </x:c>
      <x:c r="X17" s="28"/>
      <x:c r="Y17" s="31" t="str">
        <x:f>IF(G17=Authorities!C16,"PASS","INVALID_UOM")</x:f>
        <x:v>PASS</x:v>
      </x:c>
      <x:c r="Z17" s="31" t="str">
        <x:f>IF(OR(COUNT(I17)=0,J17="",K17=""),"MISSING_COUNT_EVIDENCE","CLEAR")</x:f>
        <x:v>MISSING_COUNT_EVIDENCE</x:v>
      </x:c>
      <x:c r="AA17" s="31" t="str">
        <x:f>IF(AND(COUNT(I17)&gt;0,I17&gt;0,OR(COUNT(L17)=0,N17="",O17="")),"MISSING_VALUATION_EVIDENCE","CLEAR")</x:f>
        <x:v>CLEAR</x:v>
      </x:c>
      <x:c r="AB17" s="31" t="str">
        <x:f>IF(AND(COUNT(I17)&gt;0,I17&gt;0,OR(R17="",R17="UNRESOLVED",P17="",Q17="")),"UNRESOLVED_SOURCE_PROVENANCE","CLEAR")</x:f>
        <x:v>CLEAR</x:v>
      </x:c>
      <x:c r="AC17" s="31" t="str">
        <x:f>IF(OR(AND(R17&lt;&gt;"",COUNTIF(Guide!$D$5:$D$11,R17)=0),AND(R17="UNPAID_SUPPLIER",LEFT(Q17,3)&lt;&gt;"AP:"),AND(R17="OWNER_CONTRIBUTED",LEFT(Q17,6)&lt;&gt;"OWNER:")),"CONFLICTING_SOURCE_EVIDENCE","CLEAR")</x:f>
        <x:v>CLEAR</x:v>
      </x:c>
      <x:c r="AD17" s="31" t="str">
        <x:f>IF(Y17="PASS","CLEAR","INVALID_UOM")</x:f>
        <x:v>CLEAR</x:v>
      </x:c>
      <x:c r="AE17" s="31" t="str">
        <x:f>IF(COUNT(I17)=0,"CLEAR",IF(ROUND(I17,6)&lt;&gt;I17,"INVALID_DECIMAL_PRECISION",IF(COUNT(L17)=0,"CLEAR",IF(ROUND(L17,10)&lt;&gt;L17,"INVALID_DECIMAL_PRECISION","CLEAR"))))</x:f>
        <x:v>CLEAR</x:v>
      </x:c>
      <x:c r="AF17" s="31" t="str">
        <x:f>IF(COUNT(I17)=0,"CLEAR",IF(I17=0,IF(AND(COUNT(L17)=0,M17=0),"CLEAR","INVALID_TOTAL_VALUE"),IF(OR(COUNT(L17)=0,M17="",M17&lt;&gt;ROUND(I17*L17,0),M17&lt;&gt;ROUND(M17,0)),"INVALID_TOTAL_VALUE","CLEAR")))</x:f>
        <x:v>CLEAR</x:v>
      </x:c>
      <x:c r="AG17" s="31" t="str">
        <x:f>IF(Z17&lt;&gt;"CLEAR","DRAFT",IF(OR(AD17&lt;&gt;"CLEAR",AE17&lt;&gt;"CLEAR",J17&lt;DATE(2026,9,30),J17&gt;=DATE(2026,10,1)),"DRAFT",IF(I17=0,"COUNT_VERIFIED",IF(AA17&lt;&gt;"CLEAR","COUNT_VERIFIED",IF(AB17&lt;&gt;"CLEAR","NEEDS_SOURCE_EVIDENCE",IF(AC17&lt;&gt;"CLEAR","CLASSIFICATION_CONFLICT",IF(OR(S17="",T17="",U17="",V17="",S17=U17,V17&lt;=T17),"VALUATION_VERIFIED","READY_FOR_ACCOUNTING_REVIEW")))))))</x:f>
        <x:v>DRAFT</x:v>
      </x:c>
      <x:c r="AH17" s="31" t="str">
        <x:f>IF(COUNTIF(Z17:AF17,"&lt;&gt;CLEAR")=0,"CLEAR","REVIEW_REQUIRED")</x:f>
        <x:v>REVIEW_REQUIRED</x:v>
      </x:c>
      <x:c r="AI17" s="24" t="str">
        <x:v>SINGLE_OPERATOR_VERIFIED</x:v>
      </x:c>
    </x:row>
    <x:row r="18" ht="54" customHeight="1">
      <x:c r="A18" s="24" t="str">
        <x:v>OPEN-ING-017-MAIN-20260930-V01</x:v>
      </x:c>
      <x:c r="B18" s="24" t="str">
        <x:v>INV-OPEN-20261001-V01</x:v>
      </x:c>
      <x:c r="C18" s="25" t="n">
        <x:v>46295</x:v>
      </x:c>
      <x:c r="D18" s="24" t="str">
        <x:v>MAIN</x:v>
      </x:c>
      <x:c r="E18" s="24" t="str">
        <x:v>ING-017</x:v>
      </x:c>
      <x:c r="F18" s="24" t="str">
        <x:v>Sirup</x:v>
      </x:c>
      <x:c r="G18" s="24" t="str">
        <x:v>ml</x:v>
      </x:c>
      <x:c r="H18" s="24" t="str">
        <x:v>CONV-ATT-ING-017-V01 | bottle → ml | 750:1 | ING-017|INTERNAL-SHOPEE-CHANNEL|Sirup|NO-SKU|750 ml syrup bottle|V01 | Effective 2026-10-01</x:v>
      </x:c>
      <x:c r="I18" s="26"/>
      <x:c r="J18" s="27"/>
      <x:c r="K18" s="28"/>
      <x:c r="L18" s="29"/>
      <x:c r="M18" s="30" t="str">
        <x:f>IF(COUNT(I18)=0,"",IF(I18=0,0,IF(COUNT(L18)=0,"",ROUND(I18*L18,0))))</x:f>
      </x:c>
      <x:c r="N18" s="28"/>
      <x:c r="O18" s="28"/>
      <x:c r="P18" s="28"/>
      <x:c r="Q18" s="28"/>
      <x:c r="R18" s="28"/>
      <x:c r="S18" s="28"/>
      <x:c r="T18" s="27"/>
      <x:c r="U18" s="28"/>
      <x:c r="V18" s="27"/>
      <x:c r="W18" s="31" t="str">
        <x:f>AG18</x:f>
        <x:v>DRAFT</x:v>
      </x:c>
      <x:c r="X18" s="28"/>
      <x:c r="Y18" s="31" t="str">
        <x:f>IF(G18=Authorities!C17,"PASS","INVALID_UOM")</x:f>
        <x:v>PASS</x:v>
      </x:c>
      <x:c r="Z18" s="31" t="str">
        <x:f>IF(OR(COUNT(I18)=0,J18="",K18=""),"MISSING_COUNT_EVIDENCE","CLEAR")</x:f>
        <x:v>MISSING_COUNT_EVIDENCE</x:v>
      </x:c>
      <x:c r="AA18" s="31" t="str">
        <x:f>IF(AND(COUNT(I18)&gt;0,I18&gt;0,OR(COUNT(L18)=0,N18="",O18="")),"MISSING_VALUATION_EVIDENCE","CLEAR")</x:f>
        <x:v>CLEAR</x:v>
      </x:c>
      <x:c r="AB18" s="31" t="str">
        <x:f>IF(AND(COUNT(I18)&gt;0,I18&gt;0,OR(R18="",R18="UNRESOLVED",P18="",Q18="")),"UNRESOLVED_SOURCE_PROVENANCE","CLEAR")</x:f>
        <x:v>CLEAR</x:v>
      </x:c>
      <x:c r="AC18" s="31" t="str">
        <x:f>IF(OR(AND(R18&lt;&gt;"",COUNTIF(Guide!$D$5:$D$11,R18)=0),AND(R18="UNPAID_SUPPLIER",LEFT(Q18,3)&lt;&gt;"AP:"),AND(R18="OWNER_CONTRIBUTED",LEFT(Q18,6)&lt;&gt;"OWNER:")),"CONFLICTING_SOURCE_EVIDENCE","CLEAR")</x:f>
        <x:v>CLEAR</x:v>
      </x:c>
      <x:c r="AD18" s="31" t="str">
        <x:f>IF(Y18="PASS","CLEAR","INVALID_UOM")</x:f>
        <x:v>CLEAR</x:v>
      </x:c>
      <x:c r="AE18" s="31" t="str">
        <x:f>IF(COUNT(I18)=0,"CLEAR",IF(ROUND(I18,6)&lt;&gt;I18,"INVALID_DECIMAL_PRECISION",IF(COUNT(L18)=0,"CLEAR",IF(ROUND(L18,10)&lt;&gt;L18,"INVALID_DECIMAL_PRECISION","CLEAR"))))</x:f>
        <x:v>CLEAR</x:v>
      </x:c>
      <x:c r="AF18" s="31" t="str">
        <x:f>IF(COUNT(I18)=0,"CLEAR",IF(I18=0,IF(AND(COUNT(L18)=0,M18=0),"CLEAR","INVALID_TOTAL_VALUE"),IF(OR(COUNT(L18)=0,M18="",M18&lt;&gt;ROUND(I18*L18,0),M18&lt;&gt;ROUND(M18,0)),"INVALID_TOTAL_VALUE","CLEAR")))</x:f>
        <x:v>CLEAR</x:v>
      </x:c>
      <x:c r="AG18" s="31" t="str">
        <x:f>IF(Z18&lt;&gt;"CLEAR","DRAFT",IF(OR(AD18&lt;&gt;"CLEAR",AE18&lt;&gt;"CLEAR",J18&lt;DATE(2026,9,30),J18&gt;=DATE(2026,10,1)),"DRAFT",IF(I18=0,"COUNT_VERIFIED",IF(AA18&lt;&gt;"CLEAR","COUNT_VERIFIED",IF(AB18&lt;&gt;"CLEAR","NEEDS_SOURCE_EVIDENCE",IF(AC18&lt;&gt;"CLEAR","CLASSIFICATION_CONFLICT",IF(OR(S18="",T18="",U18="",V18="",S18=U18,V18&lt;=T18),"VALUATION_VERIFIED","READY_FOR_ACCOUNTING_REVIEW")))))))</x:f>
        <x:v>DRAFT</x:v>
      </x:c>
      <x:c r="AH18" s="31" t="str">
        <x:f>IF(COUNTIF(Z18:AF18,"&lt;&gt;CLEAR")=0,"CLEAR","REVIEW_REQUIRED")</x:f>
        <x:v>REVIEW_REQUIRED</x:v>
      </x:c>
      <x:c r="AI18" s="24" t="str">
        <x:v>SINGLE_OPERATOR_VERIFIED</x:v>
      </x:c>
    </x:row>
    <x:row r="19" ht="54" customHeight="1">
      <x:c r="A19" s="24" t="str">
        <x:v>OPEN-ING-019-MAIN-20260930-V01</x:v>
      </x:c>
      <x:c r="B19" s="24" t="str">
        <x:v>INV-OPEN-20261001-V01</x:v>
      </x:c>
      <x:c r="C19" s="25" t="n">
        <x:v>46295</x:v>
      </x:c>
      <x:c r="D19" s="24" t="str">
        <x:v>MAIN</x:v>
      </x:c>
      <x:c r="E19" s="24" t="str">
        <x:v>ING-019</x:v>
      </x:c>
      <x:c r="F19" s="24" t="str">
        <x:v>Soda</x:v>
      </x:c>
      <x:c r="G19" s="24" t="str">
        <x:v>ml</x:v>
      </x:c>
      <x:c r="H19" s="24" t="str">
        <x:v>CONV-ATT-ING-019-V01 | carton → ml | 6000:1 | ING-019|INTERNAL-KELONTONG|Soda|NO-SKU|carton 24 x 250 ml bottles|V01 | Effective 2026-10-01</x:v>
      </x:c>
      <x:c r="I19" s="26"/>
      <x:c r="J19" s="27"/>
      <x:c r="K19" s="28"/>
      <x:c r="L19" s="29"/>
      <x:c r="M19" s="30" t="str">
        <x:f>IF(COUNT(I19)=0,"",IF(I19=0,0,IF(COUNT(L19)=0,"",ROUND(I19*L19,0))))</x:f>
      </x:c>
      <x:c r="N19" s="28"/>
      <x:c r="O19" s="28"/>
      <x:c r="P19" s="28"/>
      <x:c r="Q19" s="28"/>
      <x:c r="R19" s="28"/>
      <x:c r="S19" s="28"/>
      <x:c r="T19" s="27"/>
      <x:c r="U19" s="28"/>
      <x:c r="V19" s="27"/>
      <x:c r="W19" s="31" t="str">
        <x:f>AG19</x:f>
        <x:v>DRAFT</x:v>
      </x:c>
      <x:c r="X19" s="28"/>
      <x:c r="Y19" s="31" t="str">
        <x:f>IF(G19=Authorities!C18,"PASS","INVALID_UOM")</x:f>
        <x:v>PASS</x:v>
      </x:c>
      <x:c r="Z19" s="31" t="str">
        <x:f>IF(OR(COUNT(I19)=0,J19="",K19=""),"MISSING_COUNT_EVIDENCE","CLEAR")</x:f>
        <x:v>MISSING_COUNT_EVIDENCE</x:v>
      </x:c>
      <x:c r="AA19" s="31" t="str">
        <x:f>IF(AND(COUNT(I19)&gt;0,I19&gt;0,OR(COUNT(L19)=0,N19="",O19="")),"MISSING_VALUATION_EVIDENCE","CLEAR")</x:f>
        <x:v>CLEAR</x:v>
      </x:c>
      <x:c r="AB19" s="31" t="str">
        <x:f>IF(AND(COUNT(I19)&gt;0,I19&gt;0,OR(R19="",R19="UNRESOLVED",P19="",Q19="")),"UNRESOLVED_SOURCE_PROVENANCE","CLEAR")</x:f>
        <x:v>CLEAR</x:v>
      </x:c>
      <x:c r="AC19" s="31" t="str">
        <x:f>IF(OR(AND(R19&lt;&gt;"",COUNTIF(Guide!$D$5:$D$11,R19)=0),AND(R19="UNPAID_SUPPLIER",LEFT(Q19,3)&lt;&gt;"AP:"),AND(R19="OWNER_CONTRIBUTED",LEFT(Q19,6)&lt;&gt;"OWNER:")),"CONFLICTING_SOURCE_EVIDENCE","CLEAR")</x:f>
        <x:v>CLEAR</x:v>
      </x:c>
      <x:c r="AD19" s="31" t="str">
        <x:f>IF(Y19="PASS","CLEAR","INVALID_UOM")</x:f>
        <x:v>CLEAR</x:v>
      </x:c>
      <x:c r="AE19" s="31" t="str">
        <x:f>IF(COUNT(I19)=0,"CLEAR",IF(ROUND(I19,6)&lt;&gt;I19,"INVALID_DECIMAL_PRECISION",IF(COUNT(L19)=0,"CLEAR",IF(ROUND(L19,10)&lt;&gt;L19,"INVALID_DECIMAL_PRECISION","CLEAR"))))</x:f>
        <x:v>CLEAR</x:v>
      </x:c>
      <x:c r="AF19" s="31" t="str">
        <x:f>IF(COUNT(I19)=0,"CLEAR",IF(I19=0,IF(AND(COUNT(L19)=0,M19=0),"CLEAR","INVALID_TOTAL_VALUE"),IF(OR(COUNT(L19)=0,M19="",M19&lt;&gt;ROUND(I19*L19,0),M19&lt;&gt;ROUND(M19,0)),"INVALID_TOTAL_VALUE","CLEAR")))</x:f>
        <x:v>CLEAR</x:v>
      </x:c>
      <x:c r="AG19" s="31" t="str">
        <x:f>IF(Z19&lt;&gt;"CLEAR","DRAFT",IF(OR(AD19&lt;&gt;"CLEAR",AE19&lt;&gt;"CLEAR",J19&lt;DATE(2026,9,30),J19&gt;=DATE(2026,10,1)),"DRAFT",IF(I19=0,"COUNT_VERIFIED",IF(AA19&lt;&gt;"CLEAR","COUNT_VERIFIED",IF(AB19&lt;&gt;"CLEAR","NEEDS_SOURCE_EVIDENCE",IF(AC19&lt;&gt;"CLEAR","CLASSIFICATION_CONFLICT",IF(OR(S19="",T19="",U19="",V19="",S19=U19,V19&lt;=T19),"VALUATION_VERIFIED","READY_FOR_ACCOUNTING_REVIEW")))))))</x:f>
        <x:v>DRAFT</x:v>
      </x:c>
      <x:c r="AH19" s="31" t="str">
        <x:f>IF(COUNTIF(Z19:AF19,"&lt;&gt;CLEAR")=0,"CLEAR","REVIEW_REQUIRED")</x:f>
        <x:v>REVIEW_REQUIRED</x:v>
      </x:c>
      <x:c r="AI19" s="24" t="str">
        <x:v>SINGLE_OPERATOR_VERIFIED</x:v>
      </x:c>
    </x:row>
    <x:row r="20" ht="54" customHeight="1">
      <x:c r="A20" s="24" t="str">
        <x:v>OPEN-ING-020-MAIN-20260930-V01</x:v>
      </x:c>
      <x:c r="B20" s="24" t="str">
        <x:v>INV-OPEN-20261001-V01</x:v>
      </x:c>
      <x:c r="C20" s="25" t="n">
        <x:v>46295</x:v>
      </x:c>
      <x:c r="D20" s="24" t="str">
        <x:v>MAIN</x:v>
      </x:c>
      <x:c r="E20" s="24" t="str">
        <x:v>ING-020</x:v>
      </x:c>
      <x:c r="F20" s="24" t="str">
        <x:v>Gula</x:v>
      </x:c>
      <x:c r="G20" s="24" t="str">
        <x:v>gr</x:v>
      </x:c>
      <x:c r="H20" s="24" t="str">
        <x:v>CONV-ATT-ING-020-V01 | bag → gr | 1000:1 | ING-020|INTERNAL-KELONTONG|Gula|NO-SKU|plastic bag 1 kg|V01 | Effective 2026-10-01</x:v>
      </x:c>
      <x:c r="I20" s="26"/>
      <x:c r="J20" s="27"/>
      <x:c r="K20" s="28"/>
      <x:c r="L20" s="29"/>
      <x:c r="M20" s="30" t="str">
        <x:f>IF(COUNT(I20)=0,"",IF(I20=0,0,IF(COUNT(L20)=0,"",ROUND(I20*L20,0))))</x:f>
      </x:c>
      <x:c r="N20" s="28"/>
      <x:c r="O20" s="28"/>
      <x:c r="P20" s="28"/>
      <x:c r="Q20" s="28"/>
      <x:c r="R20" s="28"/>
      <x:c r="S20" s="28"/>
      <x:c r="T20" s="27"/>
      <x:c r="U20" s="28"/>
      <x:c r="V20" s="27"/>
      <x:c r="W20" s="31" t="str">
        <x:f>AG20</x:f>
        <x:v>DRAFT</x:v>
      </x:c>
      <x:c r="X20" s="28"/>
      <x:c r="Y20" s="31" t="str">
        <x:f>IF(G20=Authorities!C19,"PASS","INVALID_UOM")</x:f>
        <x:v>PASS</x:v>
      </x:c>
      <x:c r="Z20" s="31" t="str">
        <x:f>IF(OR(COUNT(I20)=0,J20="",K20=""),"MISSING_COUNT_EVIDENCE","CLEAR")</x:f>
        <x:v>MISSING_COUNT_EVIDENCE</x:v>
      </x:c>
      <x:c r="AA20" s="31" t="str">
        <x:f>IF(AND(COUNT(I20)&gt;0,I20&gt;0,OR(COUNT(L20)=0,N20="",O20="")),"MISSING_VALUATION_EVIDENCE","CLEAR")</x:f>
        <x:v>CLEAR</x:v>
      </x:c>
      <x:c r="AB20" s="31" t="str">
        <x:f>IF(AND(COUNT(I20)&gt;0,I20&gt;0,OR(R20="",R20="UNRESOLVED",P20="",Q20="")),"UNRESOLVED_SOURCE_PROVENANCE","CLEAR")</x:f>
        <x:v>CLEAR</x:v>
      </x:c>
      <x:c r="AC20" s="31" t="str">
        <x:f>IF(OR(AND(R20&lt;&gt;"",COUNTIF(Guide!$D$5:$D$11,R20)=0),AND(R20="UNPAID_SUPPLIER",LEFT(Q20,3)&lt;&gt;"AP:"),AND(R20="OWNER_CONTRIBUTED",LEFT(Q20,6)&lt;&gt;"OWNER:")),"CONFLICTING_SOURCE_EVIDENCE","CLEAR")</x:f>
        <x:v>CLEAR</x:v>
      </x:c>
      <x:c r="AD20" s="31" t="str">
        <x:f>IF(Y20="PASS","CLEAR","INVALID_UOM")</x:f>
        <x:v>CLEAR</x:v>
      </x:c>
      <x:c r="AE20" s="31" t="str">
        <x:f>IF(COUNT(I20)=0,"CLEAR",IF(ROUND(I20,6)&lt;&gt;I20,"INVALID_DECIMAL_PRECISION",IF(COUNT(L20)=0,"CLEAR",IF(ROUND(L20,10)&lt;&gt;L20,"INVALID_DECIMAL_PRECISION","CLEAR"))))</x:f>
        <x:v>CLEAR</x:v>
      </x:c>
      <x:c r="AF20" s="31" t="str">
        <x:f>IF(COUNT(I20)=0,"CLEAR",IF(I20=0,IF(AND(COUNT(L20)=0,M20=0),"CLEAR","INVALID_TOTAL_VALUE"),IF(OR(COUNT(L20)=0,M20="",M20&lt;&gt;ROUND(I20*L20,0),M20&lt;&gt;ROUND(M20,0)),"INVALID_TOTAL_VALUE","CLEAR")))</x:f>
        <x:v>CLEAR</x:v>
      </x:c>
      <x:c r="AG20" s="31" t="str">
        <x:f>IF(Z20&lt;&gt;"CLEAR","DRAFT",IF(OR(AD20&lt;&gt;"CLEAR",AE20&lt;&gt;"CLEAR",J20&lt;DATE(2026,9,30),J20&gt;=DATE(2026,10,1)),"DRAFT",IF(I20=0,"COUNT_VERIFIED",IF(AA20&lt;&gt;"CLEAR","COUNT_VERIFIED",IF(AB20&lt;&gt;"CLEAR","NEEDS_SOURCE_EVIDENCE",IF(AC20&lt;&gt;"CLEAR","CLASSIFICATION_CONFLICT",IF(OR(S20="",T20="",U20="",V20="",S20=U20,V20&lt;=T20),"VALUATION_VERIFIED","READY_FOR_ACCOUNTING_REVIEW")))))))</x:f>
        <x:v>DRAFT</x:v>
      </x:c>
      <x:c r="AH20" s="31" t="str">
        <x:f>IF(COUNTIF(Z20:AF20,"&lt;&gt;CLEAR")=0,"CLEAR","REVIEW_REQUIRED")</x:f>
        <x:v>REVIEW_REQUIRED</x:v>
      </x:c>
      <x:c r="AI20" s="24" t="str">
        <x:v>SINGLE_OPERATOR_VERIFIED</x:v>
      </x:c>
    </x:row>
    <x:row r="21" ht="54" customHeight="1">
      <x:c r="A21" s="24" t="str">
        <x:v>OPEN-ING-021-MAIN-20260930-V01</x:v>
      </x:c>
      <x:c r="B21" s="24" t="str">
        <x:v>INV-OPEN-20261001-V01</x:v>
      </x:c>
      <x:c r="C21" s="25" t="n">
        <x:v>46295</x:v>
      </x:c>
      <x:c r="D21" s="24" t="str">
        <x:v>MAIN</x:v>
      </x:c>
      <x:c r="E21" s="24" t="str">
        <x:v>ING-021</x:v>
      </x:c>
      <x:c r="F21" s="24" t="str">
        <x:v>Es</x:v>
      </x:c>
      <x:c r="G21" s="24" t="str">
        <x:v>gr</x:v>
      </x:c>
      <x:c r="H21" s="24" t="str">
        <x:v>CONV-ATT-ING-021-V01 | pack → gr | 10000:1 | ING-021|SUP-HAKAES|Es|NO-SKU|standardized plastic pack 10 kg|V01 | Effective 2026-10-01</x:v>
      </x:c>
      <x:c r="I21" s="26"/>
      <x:c r="J21" s="27"/>
      <x:c r="K21" s="28"/>
      <x:c r="L21" s="29"/>
      <x:c r="M21" s="30" t="str">
        <x:f>IF(COUNT(I21)=0,"",IF(I21=0,0,IF(COUNT(L21)=0,"",ROUND(I21*L21,0))))</x:f>
      </x:c>
      <x:c r="N21" s="28"/>
      <x:c r="O21" s="28"/>
      <x:c r="P21" s="28"/>
      <x:c r="Q21" s="28"/>
      <x:c r="R21" s="28"/>
      <x:c r="S21" s="28"/>
      <x:c r="T21" s="27"/>
      <x:c r="U21" s="28"/>
      <x:c r="V21" s="27"/>
      <x:c r="W21" s="31" t="str">
        <x:f>AG21</x:f>
        <x:v>DRAFT</x:v>
      </x:c>
      <x:c r="X21" s="28"/>
      <x:c r="Y21" s="31" t="str">
        <x:f>IF(G21=Authorities!C20,"PASS","INVALID_UOM")</x:f>
        <x:v>PASS</x:v>
      </x:c>
      <x:c r="Z21" s="31" t="str">
        <x:f>IF(OR(COUNT(I21)=0,J21="",K21=""),"MISSING_COUNT_EVIDENCE","CLEAR")</x:f>
        <x:v>MISSING_COUNT_EVIDENCE</x:v>
      </x:c>
      <x:c r="AA21" s="31" t="str">
        <x:f>IF(AND(COUNT(I21)&gt;0,I21&gt;0,OR(COUNT(L21)=0,N21="",O21="")),"MISSING_VALUATION_EVIDENCE","CLEAR")</x:f>
        <x:v>CLEAR</x:v>
      </x:c>
      <x:c r="AB21" s="31" t="str">
        <x:f>IF(AND(COUNT(I21)&gt;0,I21&gt;0,OR(R21="",R21="UNRESOLVED",P21="",Q21="")),"UNRESOLVED_SOURCE_PROVENANCE","CLEAR")</x:f>
        <x:v>CLEAR</x:v>
      </x:c>
      <x:c r="AC21" s="31" t="str">
        <x:f>IF(OR(AND(R21&lt;&gt;"",COUNTIF(Guide!$D$5:$D$11,R21)=0),AND(R21="UNPAID_SUPPLIER",LEFT(Q21,3)&lt;&gt;"AP:"),AND(R21="OWNER_CONTRIBUTED",LEFT(Q21,6)&lt;&gt;"OWNER:")),"CONFLICTING_SOURCE_EVIDENCE","CLEAR")</x:f>
        <x:v>CLEAR</x:v>
      </x:c>
      <x:c r="AD21" s="31" t="str">
        <x:f>IF(Y21="PASS","CLEAR","INVALID_UOM")</x:f>
        <x:v>CLEAR</x:v>
      </x:c>
      <x:c r="AE21" s="31" t="str">
        <x:f>IF(COUNT(I21)=0,"CLEAR",IF(ROUND(I21,6)&lt;&gt;I21,"INVALID_DECIMAL_PRECISION",IF(COUNT(L21)=0,"CLEAR",IF(ROUND(L21,10)&lt;&gt;L21,"INVALID_DECIMAL_PRECISION","CLEAR"))))</x:f>
        <x:v>CLEAR</x:v>
      </x:c>
      <x:c r="AF21" s="31" t="str">
        <x:f>IF(COUNT(I21)=0,"CLEAR",IF(I21=0,IF(AND(COUNT(L21)=0,M21=0),"CLEAR","INVALID_TOTAL_VALUE"),IF(OR(COUNT(L21)=0,M21="",M21&lt;&gt;ROUND(I21*L21,0),M21&lt;&gt;ROUND(M21,0)),"INVALID_TOTAL_VALUE","CLEAR")))</x:f>
        <x:v>CLEAR</x:v>
      </x:c>
      <x:c r="AG21" s="31" t="str">
        <x:f>IF(Z21&lt;&gt;"CLEAR","DRAFT",IF(OR(AD21&lt;&gt;"CLEAR",AE21&lt;&gt;"CLEAR",J21&lt;DATE(2026,9,30),J21&gt;=DATE(2026,10,1)),"DRAFT",IF(I21=0,"COUNT_VERIFIED",IF(AA21&lt;&gt;"CLEAR","COUNT_VERIFIED",IF(AB21&lt;&gt;"CLEAR","NEEDS_SOURCE_EVIDENCE",IF(AC21&lt;&gt;"CLEAR","CLASSIFICATION_CONFLICT",IF(OR(S21="",T21="",U21="",V21="",S21=U21,V21&lt;=T21),"VALUATION_VERIFIED","READY_FOR_ACCOUNTING_REVIEW")))))))</x:f>
        <x:v>DRAFT</x:v>
      </x:c>
      <x:c r="AH21" s="31" t="str">
        <x:f>IF(COUNTIF(Z21:AF21,"&lt;&gt;CLEAR")=0,"CLEAR","REVIEW_REQUIRED")</x:f>
        <x:v>REVIEW_REQUIRED</x:v>
      </x:c>
      <x:c r="AI21" s="24" t="str">
        <x:v>SINGLE_OPERATOR_VERIFIED</x:v>
      </x:c>
    </x:row>
    <x:row r="22" ht="54" customHeight="1">
      <x:c r="A22" s="24" t="str">
        <x:v>OPEN-ING-031-MAIN-20260930-V01</x:v>
      </x:c>
      <x:c r="B22" s="24" t="str">
        <x:v>INV-OPEN-20261001-V01</x:v>
      </x:c>
      <x:c r="C22" s="25" t="n">
        <x:v>46295</x:v>
      </x:c>
      <x:c r="D22" s="24" t="str">
        <x:v>MAIN</x:v>
      </x:c>
      <x:c r="E22" s="24" t="str">
        <x:v>ING-031</x:v>
      </x:c>
      <x:c r="F22" s="24" t="str">
        <x:v>Spt Filter</x:v>
      </x:c>
      <x:c r="G22" s="24" t="str">
        <x:v>pcs</x:v>
      </x:c>
      <x:c r="H22" s="24" t="str">
        <x:v>CONV-ATT-ING-031-V01 | box → pcs | 40:1 | ING-031|INTERNAL-SHOPEE-CHANNEL|Spt Filter|NO-SKU|box 40 filter sheets|V01 | Effective 2026-10-01</x:v>
      </x:c>
      <x:c r="I22" s="26"/>
      <x:c r="J22" s="27"/>
      <x:c r="K22" s="28"/>
      <x:c r="L22" s="29"/>
      <x:c r="M22" s="30" t="str">
        <x:f>IF(COUNT(I22)=0,"",IF(I22=0,0,IF(COUNT(L22)=0,"",ROUND(I22*L22,0))))</x:f>
      </x:c>
      <x:c r="N22" s="28"/>
      <x:c r="O22" s="28"/>
      <x:c r="P22" s="28"/>
      <x:c r="Q22" s="28"/>
      <x:c r="R22" s="28"/>
      <x:c r="S22" s="28"/>
      <x:c r="T22" s="27"/>
      <x:c r="U22" s="28"/>
      <x:c r="V22" s="27"/>
      <x:c r="W22" s="31" t="str">
        <x:f>AG22</x:f>
        <x:v>DRAFT</x:v>
      </x:c>
      <x:c r="X22" s="28"/>
      <x:c r="Y22" s="31" t="str">
        <x:f>IF(G22=Authorities!C21,"PASS","INVALID_UOM")</x:f>
        <x:v>PASS</x:v>
      </x:c>
      <x:c r="Z22" s="31" t="str">
        <x:f>IF(OR(COUNT(I22)=0,J22="",K22=""),"MISSING_COUNT_EVIDENCE","CLEAR")</x:f>
        <x:v>MISSING_COUNT_EVIDENCE</x:v>
      </x:c>
      <x:c r="AA22" s="31" t="str">
        <x:f>IF(AND(COUNT(I22)&gt;0,I22&gt;0,OR(COUNT(L22)=0,N22="",O22="")),"MISSING_VALUATION_EVIDENCE","CLEAR")</x:f>
        <x:v>CLEAR</x:v>
      </x:c>
      <x:c r="AB22" s="31" t="str">
        <x:f>IF(AND(COUNT(I22)&gt;0,I22&gt;0,OR(R22="",R22="UNRESOLVED",P22="",Q22="")),"UNRESOLVED_SOURCE_PROVENANCE","CLEAR")</x:f>
        <x:v>CLEAR</x:v>
      </x:c>
      <x:c r="AC22" s="31" t="str">
        <x:f>IF(OR(AND(R22&lt;&gt;"",COUNTIF(Guide!$D$5:$D$11,R22)=0),AND(R22="UNPAID_SUPPLIER",LEFT(Q22,3)&lt;&gt;"AP:"),AND(R22="OWNER_CONTRIBUTED",LEFT(Q22,6)&lt;&gt;"OWNER:")),"CONFLICTING_SOURCE_EVIDENCE","CLEAR")</x:f>
        <x:v>CLEAR</x:v>
      </x:c>
      <x:c r="AD22" s="31" t="str">
        <x:f>IF(Y22="PASS","CLEAR","INVALID_UOM")</x:f>
        <x:v>CLEAR</x:v>
      </x:c>
      <x:c r="AE22" s="31" t="str">
        <x:f>IF(COUNT(I22)=0,"CLEAR",IF(ROUND(I22,6)&lt;&gt;I22,"INVALID_DECIMAL_PRECISION",IF(COUNT(L22)=0,"CLEAR",IF(ROUND(L22,10)&lt;&gt;L22,"INVALID_DECIMAL_PRECISION","CLEAR"))))</x:f>
        <x:v>CLEAR</x:v>
      </x:c>
      <x:c r="AF22" s="31" t="str">
        <x:f>IF(COUNT(I22)=0,"CLEAR",IF(I22=0,IF(AND(COUNT(L22)=0,M22=0),"CLEAR","INVALID_TOTAL_VALUE"),IF(OR(COUNT(L22)=0,M22="",M22&lt;&gt;ROUND(I22*L22,0),M22&lt;&gt;ROUND(M22,0)),"INVALID_TOTAL_VALUE","CLEAR")))</x:f>
        <x:v>CLEAR</x:v>
      </x:c>
      <x:c r="AG22" s="31" t="str">
        <x:f>IF(Z22&lt;&gt;"CLEAR","DRAFT",IF(OR(AD22&lt;&gt;"CLEAR",AE22&lt;&gt;"CLEAR",J22&lt;DATE(2026,9,30),J22&gt;=DATE(2026,10,1)),"DRAFT",IF(I22=0,"COUNT_VERIFIED",IF(AA22&lt;&gt;"CLEAR","COUNT_VERIFIED",IF(AB22&lt;&gt;"CLEAR","NEEDS_SOURCE_EVIDENCE",IF(AC22&lt;&gt;"CLEAR","CLASSIFICATION_CONFLICT",IF(OR(S22="",T22="",U22="",V22="",S22=U22,V22&lt;=T22),"VALUATION_VERIFIED","READY_FOR_ACCOUNTING_REVIEW")))))))</x:f>
        <x:v>DRAFT</x:v>
      </x:c>
      <x:c r="AH22" s="31" t="str">
        <x:f>IF(COUNTIF(Z22:AF22,"&lt;&gt;CLEAR")=0,"CLEAR","REVIEW_REQUIRED")</x:f>
        <x:v>REVIEW_REQUIRED</x:v>
      </x:c>
      <x:c r="AI22" s="24" t="str">
        <x:v>SINGLE_OPERATOR_VERIFIED</x:v>
      </x:c>
    </x:row>
    <x:row r="23" ht="54" customHeight="1">
      <x:c r="A23" s="24" t="str">
        <x:v>OPEN-ING-032-MAIN-20260930-V01</x:v>
      </x:c>
      <x:c r="B23" s="24" t="str">
        <x:v>INV-OPEN-20261001-V01</x:v>
      </x:c>
      <x:c r="C23" s="25" t="n">
        <x:v>46295</x:v>
      </x:c>
      <x:c r="D23" s="24" t="str">
        <x:v>MAIN</x:v>
      </x:c>
      <x:c r="E23" s="24" t="str">
        <x:v>ING-032</x:v>
      </x:c>
      <x:c r="F23" s="24" t="str">
        <x:v>Spt Cup</x:v>
      </x:c>
      <x:c r="G23" s="24" t="str">
        <x:v>pcs</x:v>
      </x:c>
      <x:c r="H23" s="24" t="str">
        <x:v>CONV-ATT-ING-032-V01 | pack → pcs | 25:1 | ING-032|INTERNAL-SHOPEE-CHANNEL|Spt Cup|NO-SKU|pack 25 cups|V01 | Effective 2026-10-01</x:v>
      </x:c>
      <x:c r="I23" s="26"/>
      <x:c r="J23" s="27"/>
      <x:c r="K23" s="28"/>
      <x:c r="L23" s="29"/>
      <x:c r="M23" s="30" t="str">
        <x:f>IF(COUNT(I23)=0,"",IF(I23=0,0,IF(COUNT(L23)=0,"",ROUND(I23*L23,0))))</x:f>
      </x:c>
      <x:c r="N23" s="28"/>
      <x:c r="O23" s="28"/>
      <x:c r="P23" s="28"/>
      <x:c r="Q23" s="28"/>
      <x:c r="R23" s="28"/>
      <x:c r="S23" s="28"/>
      <x:c r="T23" s="27"/>
      <x:c r="U23" s="28"/>
      <x:c r="V23" s="27"/>
      <x:c r="W23" s="31" t="str">
        <x:f>AG23</x:f>
        <x:v>DRAFT</x:v>
      </x:c>
      <x:c r="X23" s="28"/>
      <x:c r="Y23" s="31" t="str">
        <x:f>IF(G23=Authorities!C22,"PASS","INVALID_UOM")</x:f>
        <x:v>PASS</x:v>
      </x:c>
      <x:c r="Z23" s="31" t="str">
        <x:f>IF(OR(COUNT(I23)=0,J23="",K23=""),"MISSING_COUNT_EVIDENCE","CLEAR")</x:f>
        <x:v>MISSING_COUNT_EVIDENCE</x:v>
      </x:c>
      <x:c r="AA23" s="31" t="str">
        <x:f>IF(AND(COUNT(I23)&gt;0,I23&gt;0,OR(COUNT(L23)=0,N23="",O23="")),"MISSING_VALUATION_EVIDENCE","CLEAR")</x:f>
        <x:v>CLEAR</x:v>
      </x:c>
      <x:c r="AB23" s="31" t="str">
        <x:f>IF(AND(COUNT(I23)&gt;0,I23&gt;0,OR(R23="",R23="UNRESOLVED",P23="",Q23="")),"UNRESOLVED_SOURCE_PROVENANCE","CLEAR")</x:f>
        <x:v>CLEAR</x:v>
      </x:c>
      <x:c r="AC23" s="31" t="str">
        <x:f>IF(OR(AND(R23&lt;&gt;"",COUNTIF(Guide!$D$5:$D$11,R23)=0),AND(R23="UNPAID_SUPPLIER",LEFT(Q23,3)&lt;&gt;"AP:"),AND(R23="OWNER_CONTRIBUTED",LEFT(Q23,6)&lt;&gt;"OWNER:")),"CONFLICTING_SOURCE_EVIDENCE","CLEAR")</x:f>
        <x:v>CLEAR</x:v>
      </x:c>
      <x:c r="AD23" s="31" t="str">
        <x:f>IF(Y23="PASS","CLEAR","INVALID_UOM")</x:f>
        <x:v>CLEAR</x:v>
      </x:c>
      <x:c r="AE23" s="31" t="str">
        <x:f>IF(COUNT(I23)=0,"CLEAR",IF(ROUND(I23,6)&lt;&gt;I23,"INVALID_DECIMAL_PRECISION",IF(COUNT(L23)=0,"CLEAR",IF(ROUND(L23,10)&lt;&gt;L23,"INVALID_DECIMAL_PRECISION","CLEAR"))))</x:f>
        <x:v>CLEAR</x:v>
      </x:c>
      <x:c r="AF23" s="31" t="str">
        <x:f>IF(COUNT(I23)=0,"CLEAR",IF(I23=0,IF(AND(COUNT(L23)=0,M23=0),"CLEAR","INVALID_TOTAL_VALUE"),IF(OR(COUNT(L23)=0,M23="",M23&lt;&gt;ROUND(I23*L23,0),M23&lt;&gt;ROUND(M23,0)),"INVALID_TOTAL_VALUE","CLEAR")))</x:f>
        <x:v>CLEAR</x:v>
      </x:c>
      <x:c r="AG23" s="31" t="str">
        <x:f>IF(Z23&lt;&gt;"CLEAR","DRAFT",IF(OR(AD23&lt;&gt;"CLEAR",AE23&lt;&gt;"CLEAR",J23&lt;DATE(2026,9,30),J23&gt;=DATE(2026,10,1)),"DRAFT",IF(I23=0,"COUNT_VERIFIED",IF(AA23&lt;&gt;"CLEAR","COUNT_VERIFIED",IF(AB23&lt;&gt;"CLEAR","NEEDS_SOURCE_EVIDENCE",IF(AC23&lt;&gt;"CLEAR","CLASSIFICATION_CONFLICT",IF(OR(S23="",T23="",U23="",V23="",S23=U23,V23&lt;=T23),"VALUATION_VERIFIED","READY_FOR_ACCOUNTING_REVIEW")))))))</x:f>
        <x:v>DRAFT</x:v>
      </x:c>
      <x:c r="AH23" s="31" t="str">
        <x:f>IF(COUNTIF(Z23:AF23,"&lt;&gt;CLEAR")=0,"CLEAR","REVIEW_REQUIRED")</x:f>
        <x:v>REVIEW_REQUIRED</x:v>
      </x:c>
      <x:c r="AI23" s="24" t="str">
        <x:v>SINGLE_OPERATOR_VERIFIED</x:v>
      </x:c>
    </x:row>
    <x:row r="24" ht="54" customHeight="1">
      <x:c r="A24" s="24" t="str">
        <x:v>OPEN-ING-033-MAIN-20260930-V01</x:v>
      </x:c>
      <x:c r="B24" s="24" t="str">
        <x:v>INV-OPEN-20261001-V01</x:v>
      </x:c>
      <x:c r="C24" s="25" t="n">
        <x:v>46295</x:v>
      </x:c>
      <x:c r="D24" s="24" t="str">
        <x:v>MAIN</x:v>
      </x:c>
      <x:c r="E24" s="24" t="str">
        <x:v>ING-033</x:v>
      </x:c>
      <x:c r="F24" s="24" t="str">
        <x:v>Spt Sedotan</x:v>
      </x:c>
      <x:c r="G24" s="24" t="str">
        <x:v>pcs</x:v>
      </x:c>
      <x:c r="H24" s="24" t="str">
        <x:v>CONV-ATT-ING-033-V01 | pack → pcs | 500:1 | ING-033|INTERNAL-KELONTONG|Spt Sedotan|NO-SKU|pack 500 straws|V01 | Effective 2026-10-01</x:v>
      </x:c>
      <x:c r="I24" s="26"/>
      <x:c r="J24" s="27"/>
      <x:c r="K24" s="28"/>
      <x:c r="L24" s="29"/>
      <x:c r="M24" s="30" t="str">
        <x:f>IF(COUNT(I24)=0,"",IF(I24=0,0,IF(COUNT(L24)=0,"",ROUND(I24*L24,0))))</x:f>
      </x:c>
      <x:c r="N24" s="28"/>
      <x:c r="O24" s="28"/>
      <x:c r="P24" s="28"/>
      <x:c r="Q24" s="28"/>
      <x:c r="R24" s="28"/>
      <x:c r="S24" s="28"/>
      <x:c r="T24" s="27"/>
      <x:c r="U24" s="28"/>
      <x:c r="V24" s="27"/>
      <x:c r="W24" s="31" t="str">
        <x:f>AG24</x:f>
        <x:v>DRAFT</x:v>
      </x:c>
      <x:c r="X24" s="28"/>
      <x:c r="Y24" s="31" t="str">
        <x:f>IF(G24=Authorities!C23,"PASS","INVALID_UOM")</x:f>
        <x:v>PASS</x:v>
      </x:c>
      <x:c r="Z24" s="31" t="str">
        <x:f>IF(OR(COUNT(I24)=0,J24="",K24=""),"MISSING_COUNT_EVIDENCE","CLEAR")</x:f>
        <x:v>MISSING_COUNT_EVIDENCE</x:v>
      </x:c>
      <x:c r="AA24" s="31" t="str">
        <x:f>IF(AND(COUNT(I24)&gt;0,I24&gt;0,OR(COUNT(L24)=0,N24="",O24="")),"MISSING_VALUATION_EVIDENCE","CLEAR")</x:f>
        <x:v>CLEAR</x:v>
      </x:c>
      <x:c r="AB24" s="31" t="str">
        <x:f>IF(AND(COUNT(I24)&gt;0,I24&gt;0,OR(R24="",R24="UNRESOLVED",P24="",Q24="")),"UNRESOLVED_SOURCE_PROVENANCE","CLEAR")</x:f>
        <x:v>CLEAR</x:v>
      </x:c>
      <x:c r="AC24" s="31" t="str">
        <x:f>IF(OR(AND(R24&lt;&gt;"",COUNTIF(Guide!$D$5:$D$11,R24)=0),AND(R24="UNPAID_SUPPLIER",LEFT(Q24,3)&lt;&gt;"AP:"),AND(R24="OWNER_CONTRIBUTED",LEFT(Q24,6)&lt;&gt;"OWNER:")),"CONFLICTING_SOURCE_EVIDENCE","CLEAR")</x:f>
        <x:v>CLEAR</x:v>
      </x:c>
      <x:c r="AD24" s="31" t="str">
        <x:f>IF(Y24="PASS","CLEAR","INVALID_UOM")</x:f>
        <x:v>CLEAR</x:v>
      </x:c>
      <x:c r="AE24" s="31" t="str">
        <x:f>IF(COUNT(I24)=0,"CLEAR",IF(ROUND(I24,6)&lt;&gt;I24,"INVALID_DECIMAL_PRECISION",IF(COUNT(L24)=0,"CLEAR",IF(ROUND(L24,10)&lt;&gt;L24,"INVALID_DECIMAL_PRECISION","CLEAR"))))</x:f>
        <x:v>CLEAR</x:v>
      </x:c>
      <x:c r="AF24" s="31" t="str">
        <x:f>IF(COUNT(I24)=0,"CLEAR",IF(I24=0,IF(AND(COUNT(L24)=0,M24=0),"CLEAR","INVALID_TOTAL_VALUE"),IF(OR(COUNT(L24)=0,M24="",M24&lt;&gt;ROUND(I24*L24,0),M24&lt;&gt;ROUND(M24,0)),"INVALID_TOTAL_VALUE","CLEAR")))</x:f>
        <x:v>CLEAR</x:v>
      </x:c>
      <x:c r="AG24" s="31" t="str">
        <x:f>IF(Z24&lt;&gt;"CLEAR","DRAFT",IF(OR(AD24&lt;&gt;"CLEAR",AE24&lt;&gt;"CLEAR",J24&lt;DATE(2026,9,30),J24&gt;=DATE(2026,10,1)),"DRAFT",IF(I24=0,"COUNT_VERIFIED",IF(AA24&lt;&gt;"CLEAR","COUNT_VERIFIED",IF(AB24&lt;&gt;"CLEAR","NEEDS_SOURCE_EVIDENCE",IF(AC24&lt;&gt;"CLEAR","CLASSIFICATION_CONFLICT",IF(OR(S24="",T24="",U24="",V24="",S24=U24,V24&lt;=T24),"VALUATION_VERIFIED","READY_FOR_ACCOUNTING_REVIEW")))))))</x:f>
        <x:v>DRAFT</x:v>
      </x:c>
      <x:c r="AH24" s="31" t="str">
        <x:f>IF(COUNTIF(Z24:AF24,"&lt;&gt;CLEAR")=0,"CLEAR","REVIEW_REQUIRED")</x:f>
        <x:v>REVIEW_REQUIRED</x:v>
      </x:c>
      <x:c r="AI24" s="24" t="str">
        <x:v>SINGLE_OPERATOR_VERIFIED</x:v>
      </x:c>
    </x:row>
    <x:row r="25" ht="54" customHeight="1">
      <x:c r="A25" s="24" t="str">
        <x:v>OPEN-ING-034-MAIN-20260930-V01</x:v>
      </x:c>
      <x:c r="B25" s="24" t="str">
        <x:v>INV-OPEN-20261001-V01</x:v>
      </x:c>
      <x:c r="C25" s="25" t="n">
        <x:v>46295</x:v>
      </x:c>
      <x:c r="D25" s="24" t="str">
        <x:v>MAIN</x:v>
      </x:c>
      <x:c r="E25" s="24" t="str">
        <x:v>ING-034</x:v>
      </x:c>
      <x:c r="F25" s="24" t="str">
        <x:v>Spt Plastik</x:v>
      </x:c>
      <x:c r="G25" s="24" t="str">
        <x:v>pcs</x:v>
      </x:c>
      <x:c r="H25" s="24" t="str">
        <x:v>CONV-ATT-ING-034-V01 | bag → pcs | 50:1 | ING-034|INTERNAL-KELONTONG|Spt Plastik|NO-SKU|bag 50 sheets|V01 | Effective 2026-10-01</x:v>
      </x:c>
      <x:c r="I25" s="26"/>
      <x:c r="J25" s="27"/>
      <x:c r="K25" s="28"/>
      <x:c r="L25" s="29"/>
      <x:c r="M25" s="30" t="str">
        <x:f>IF(COUNT(I25)=0,"",IF(I25=0,0,IF(COUNT(L25)=0,"",ROUND(I25*L25,0))))</x:f>
      </x:c>
      <x:c r="N25" s="28"/>
      <x:c r="O25" s="28"/>
      <x:c r="P25" s="28"/>
      <x:c r="Q25" s="28"/>
      <x:c r="R25" s="28"/>
      <x:c r="S25" s="28"/>
      <x:c r="T25" s="27"/>
      <x:c r="U25" s="28"/>
      <x:c r="V25" s="27"/>
      <x:c r="W25" s="31" t="str">
        <x:f>AG25</x:f>
        <x:v>DRAFT</x:v>
      </x:c>
      <x:c r="X25" s="28"/>
      <x:c r="Y25" s="31" t="str">
        <x:f>IF(G25=Authorities!C24,"PASS","INVALID_UOM")</x:f>
        <x:v>PASS</x:v>
      </x:c>
      <x:c r="Z25" s="31" t="str">
        <x:f>IF(OR(COUNT(I25)=0,J25="",K25=""),"MISSING_COUNT_EVIDENCE","CLEAR")</x:f>
        <x:v>MISSING_COUNT_EVIDENCE</x:v>
      </x:c>
      <x:c r="AA25" s="31" t="str">
        <x:f>IF(AND(COUNT(I25)&gt;0,I25&gt;0,OR(COUNT(L25)=0,N25="",O25="")),"MISSING_VALUATION_EVIDENCE","CLEAR")</x:f>
        <x:v>CLEAR</x:v>
      </x:c>
      <x:c r="AB25" s="31" t="str">
        <x:f>IF(AND(COUNT(I25)&gt;0,I25&gt;0,OR(R25="",R25="UNRESOLVED",P25="",Q25="")),"UNRESOLVED_SOURCE_PROVENANCE","CLEAR")</x:f>
        <x:v>CLEAR</x:v>
      </x:c>
      <x:c r="AC25" s="31" t="str">
        <x:f>IF(OR(AND(R25&lt;&gt;"",COUNTIF(Guide!$D$5:$D$11,R25)=0),AND(R25="UNPAID_SUPPLIER",LEFT(Q25,3)&lt;&gt;"AP:"),AND(R25="OWNER_CONTRIBUTED",LEFT(Q25,6)&lt;&gt;"OWNER:")),"CONFLICTING_SOURCE_EVIDENCE","CLEAR")</x:f>
        <x:v>CLEAR</x:v>
      </x:c>
      <x:c r="AD25" s="31" t="str">
        <x:f>IF(Y25="PASS","CLEAR","INVALID_UOM")</x:f>
        <x:v>CLEAR</x:v>
      </x:c>
      <x:c r="AE25" s="31" t="str">
        <x:f>IF(COUNT(I25)=0,"CLEAR",IF(ROUND(I25,6)&lt;&gt;I25,"INVALID_DECIMAL_PRECISION",IF(COUNT(L25)=0,"CLEAR",IF(ROUND(L25,10)&lt;&gt;L25,"INVALID_DECIMAL_PRECISION","CLEAR"))))</x:f>
        <x:v>CLEAR</x:v>
      </x:c>
      <x:c r="AF25" s="31" t="str">
        <x:f>IF(COUNT(I25)=0,"CLEAR",IF(I25=0,IF(AND(COUNT(L25)=0,M25=0),"CLEAR","INVALID_TOTAL_VALUE"),IF(OR(COUNT(L25)=0,M25="",M25&lt;&gt;ROUND(I25*L25,0),M25&lt;&gt;ROUND(M25,0)),"INVALID_TOTAL_VALUE","CLEAR")))</x:f>
        <x:v>CLEAR</x:v>
      </x:c>
      <x:c r="AG25" s="31" t="str">
        <x:f>IF(Z25&lt;&gt;"CLEAR","DRAFT",IF(OR(AD25&lt;&gt;"CLEAR",AE25&lt;&gt;"CLEAR",J25&lt;DATE(2026,9,30),J25&gt;=DATE(2026,10,1)),"DRAFT",IF(I25=0,"COUNT_VERIFIED",IF(AA25&lt;&gt;"CLEAR","COUNT_VERIFIED",IF(AB25&lt;&gt;"CLEAR","NEEDS_SOURCE_EVIDENCE",IF(AC25&lt;&gt;"CLEAR","CLASSIFICATION_CONFLICT",IF(OR(S25="",T25="",U25="",V25="",S25=U25,V25&lt;=T25),"VALUATION_VERIFIED","READY_FOR_ACCOUNTING_REVIEW")))))))</x:f>
        <x:v>DRAFT</x:v>
      </x:c>
      <x:c r="AH25" s="31" t="str">
        <x:f>IF(COUNTIF(Z25:AF25,"&lt;&gt;CLEAR")=0,"CLEAR","REVIEW_REQUIRED")</x:f>
        <x:v>REVIEW_REQUIRED</x:v>
      </x:c>
      <x:c r="AI25" s="24" t="str">
        <x:v>SINGLE_OPERATOR_VERIFIED</x:v>
      </x:c>
    </x:row>
  </x:sheetData>
  <x:mergeCells>
    <x:mergeCell ref="A1:AI1"/>
    <x:mergeCell ref="A2:AI2"/>
  </x:mergeCells>
  <x:conditionalFormatting sqref="AG5:AG25">
    <x:cfRule type="containsText" dxfId="0" priority="1" operator="containsText" text="READY_FOR_ACCOUNTING_REVIEW"/>
  </x:conditionalFormatting>
  <x:conditionalFormatting sqref="AH5:AH25">
    <x:cfRule type="containsText" dxfId="1" priority="2" operator="containsText" text="REVIEW_REQUIRED"/>
  </x:conditionalFormatting>
  <x:dataValidations count="1">
    <x:dataValidation type="list" sqref="R5:R25">
      <x:formula1>"PRIOR_PERIOD_EXPENSED,CURRENT_PERIOD_EXPENSED,OWNER_CONTRIBUTED,UNPAID_SUPPLIER,OTHER_SUPPORTED,UNRESOLVED"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6.110000610351562" hidden="0" customWidth="1"/>
    <x:col min="15" max="15" width="16.110000610351562" hidden="0" customWidth="1"/>
    <x:col min="16" max="16" width="16.110000610351562" hidden="0" customWidth="1"/>
    <x:col min="17" max="17" width="16.110000610351562" hidden="0" customWidth="1"/>
    <x:col min="18" max="18" width="16.110000610351562" hidden="0" customWidth="1"/>
    <x:col min="19" max="19" width="16.110000610351562" hidden="0" customWidth="1"/>
    <x:col min="20" max="20" width="16.110000610351562" hidden="0" customWidth="1"/>
    <x:col min="21" max="21" width="16.110000610351562" hidden="0" customWidth="1"/>
    <x:col min="22" max="22" width="16.110000610351562" hidden="0" customWidth="1"/>
    <x:col min="23" max="23" width="16.110000610351562" hidden="0" customWidth="1"/>
    <x:col min="24" max="24" width="16.110000610351562" hidden="0" customWidth="1"/>
    <x:col min="25" max="25" width="16.110000610351562" hidden="0" customWidth="1"/>
    <x:col min="26" max="26" width="16.110000610351562" hidden="0" customWidth="1"/>
    <x:col min="27" max="27" width="16.110000610351562" hidden="0" customWidth="1"/>
  </x:cols>
  <x:sheetData>
    <x:row r="1">
      <x:c r="A1" s="33" t="str">
        <x:v>Exact 27-column staging preview — non-authoritative, production write prohibited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</x:row>
    <x:row r="3" ht="36" customHeight="1">
      <x:c r="A3" s="14" t="str">
        <x:v>OpeningID</x:v>
      </x:c>
      <x:c r="B3" s="14" t="str">
        <x:v>SupersedesOpeningID</x:v>
      </x:c>
      <x:c r="C3" s="14" t="str">
        <x:v>OpeningBatchID</x:v>
      </x:c>
      <x:c r="D3" s="14" t="str">
        <x:v>CutoverDate</x:v>
      </x:c>
      <x:c r="E3" s="14" t="str">
        <x:v>ItemID</x:v>
      </x:c>
      <x:c r="F3" s="14" t="str">
        <x:v>Location</x:v>
      </x:c>
      <x:c r="G3" s="14" t="str">
        <x:v>BaseUOM</x:v>
      </x:c>
      <x:c r="H3" s="14" t="str">
        <x:v>ObservedQty</x:v>
      </x:c>
      <x:c r="I3" s="14" t="str">
        <x:v>ObservationTimestamp</x:v>
      </x:c>
      <x:c r="J3" s="14" t="str">
        <x:v>QuantityEvidenceRef</x:v>
      </x:c>
      <x:c r="K3" s="14" t="str">
        <x:v>UnitCost</x:v>
      </x:c>
      <x:c r="L3" s="14" t="str">
        <x:v>TotalValue</x:v>
      </x:c>
      <x:c r="M3" s="14" t="str">
        <x:v>ValuationBasis</x:v>
      </x:c>
      <x:c r="N3" s="14" t="str">
        <x:v>ValuationEvidenceRef</x:v>
      </x:c>
      <x:c r="O3" s="14" t="str">
        <x:v>AcquisitionEvidenceRef</x:v>
      </x:c>
      <x:c r="P3" s="14" t="str">
        <x:v>AccountingSourceRef</x:v>
      </x:c>
      <x:c r="Q3" s="14" t="str">
        <x:v>EconomicOrigin</x:v>
      </x:c>
      <x:c r="R3" s="14" t="str">
        <x:v>PreparedBy</x:v>
      </x:c>
      <x:c r="S3" s="14" t="str">
        <x:v>PreparedAt</x:v>
      </x:c>
      <x:c r="T3" s="14" t="str">
        <x:v>ReviewedBy</x:v>
      </x:c>
      <x:c r="U3" s="14" t="str">
        <x:v>ReviewedAt</x:v>
      </x:c>
      <x:c r="V3" s="14" t="str">
        <x:v>ApprovalStatus</x:v>
      </x:c>
      <x:c r="W3" s="14" t="str">
        <x:v>IsActive</x:v>
      </x:c>
      <x:c r="X3" s="14" t="str">
        <x:v>CreatedAt</x:v>
      </x:c>
      <x:c r="Y3" s="14" t="str">
        <x:v>CreatedBy</x:v>
      </x:c>
      <x:c r="Z3" s="14" t="str">
        <x:v>UpdatedAt</x:v>
      </x:c>
      <x:c r="AA3" s="14" t="str">
        <x:v>UpdatedBy</x:v>
      </x:c>
    </x:row>
    <x:row r="4">
      <x:c r="A4" s="15" t="str">
        <x:f>Intake!A5</x:f>
        <x:v>OPEN-ING-004-MAIN-20260930-V01</x:v>
      </x:c>
      <x:c r="B4" s="15" t="str"/>
      <x:c r="C4" s="15" t="str">
        <x:f>Intake!B5</x:f>
        <x:v>INV-OPEN-20261001-V01</x:v>
      </x:c>
      <x:c r="D4" s="35" t="n">
        <x:f>Intake!C5</x:f>
        <x:v>46295</x:v>
      </x:c>
      <x:c r="E4" s="15" t="str">
        <x:f>Intake!E5</x:f>
        <x:v>ING-004</x:v>
      </x:c>
      <x:c r="F4" s="15" t="str">
        <x:f>Intake!D5</x:f>
        <x:v>MAIN</x:v>
      </x:c>
      <x:c r="G4" s="15" t="str">
        <x:f>Intake!G5</x:f>
        <x:v>gr</x:v>
      </x:c>
      <x:c r="H4" s="36" t="str">
        <x:f>IF(COUNTA(Intake!I5)=0,"",Intake!I5)</x:f>
      </x:c>
      <x:c r="I4" s="15" t="str">
        <x:f>IF(COUNTA(Intake!J5)=0,"",Intake!J5)</x:f>
      </x:c>
      <x:c r="J4" s="15" t="str">
        <x:f>IF(COUNTA(Intake!K5)=0,"",Intake!K5)</x:f>
      </x:c>
      <x:c r="K4" s="37" t="str">
        <x:f>IF(COUNTA(Intake!L5)=0,"",Intake!L5)</x:f>
      </x:c>
      <x:c r="L4" s="38" t="str">
        <x:f>IF(COUNTA(Intake!M5)=0,"",Intake!M5)</x:f>
      </x:c>
      <x:c r="M4" s="15" t="str">
        <x:f>IF(COUNTA(Intake!N5)=0,"",Intake!N5)</x:f>
      </x:c>
      <x:c r="N4" s="15" t="str">
        <x:f>IF(COUNTA(Intake!O5)=0,"",Intake!O5)</x:f>
      </x:c>
      <x:c r="O4" s="15" t="str">
        <x:f>IF(COUNTA(Intake!P5)=0,"",Intake!P5)</x:f>
      </x:c>
      <x:c r="P4" s="15" t="str">
        <x:f>IF(COUNTA(Intake!Q5)=0,"",Intake!Q5)</x:f>
      </x:c>
      <x:c r="Q4" s="15" t="str">
        <x:f>IF(COUNTA(Intake!R5)=0,"",Intake!R5)</x:f>
      </x:c>
      <x:c r="R4" s="15" t="str">
        <x:f>IF(COUNTA(Intake!S5)=0,"",Intake!S5)</x:f>
      </x:c>
      <x:c r="S4" s="15" t="str">
        <x:f>IF(COUNTA(Intake!T5)=0,"",Intake!T5)</x:f>
      </x:c>
      <x:c r="T4" s="15" t="str">
        <x:f>IF(COUNTA(Intake!U5)=0,"",Intake!U5)</x:f>
      </x:c>
      <x:c r="U4" s="15" t="str">
        <x:f>IF(COUNTA(Intake!V5)=0,"",Intake!V5)</x:f>
      </x:c>
      <x:c r="V4" s="15" t="str">
        <x:f>Intake!W5</x:f>
        <x:v>DRAFT</x:v>
      </x:c>
      <x:c r="W4" s="34" t="b">
        <x:v>0</x:v>
      </x:c>
      <x:c r="X4" s="15" t="str"/>
      <x:c r="Y4" s="15" t="str"/>
      <x:c r="Z4" s="15" t="str"/>
      <x:c r="AA4" s="15" t="str"/>
    </x:row>
    <x:row r="5">
      <x:c r="A5" s="15" t="str">
        <x:f>Intake!A6</x:f>
        <x:v>OPEN-ING-005-MAIN-20260930-V01</x:v>
      </x:c>
      <x:c r="B5" s="15" t="str"/>
      <x:c r="C5" s="15" t="str">
        <x:f>Intake!B6</x:f>
        <x:v>INV-OPEN-20261001-V01</x:v>
      </x:c>
      <x:c r="D5" s="35" t="n">
        <x:f>Intake!C6</x:f>
        <x:v>46295</x:v>
      </x:c>
      <x:c r="E5" s="15" t="str">
        <x:f>Intake!E6</x:f>
        <x:v>ING-005</x:v>
      </x:c>
      <x:c r="F5" s="15" t="str">
        <x:f>Intake!D6</x:f>
        <x:v>MAIN</x:v>
      </x:c>
      <x:c r="G5" s="15" t="str">
        <x:f>Intake!G6</x:f>
        <x:v>gr</x:v>
      </x:c>
      <x:c r="H5" s="36" t="str">
        <x:f>IF(COUNTA(Intake!I6)=0,"",Intake!I6)</x:f>
      </x:c>
      <x:c r="I5" s="15" t="str">
        <x:f>IF(COUNTA(Intake!J6)=0,"",Intake!J6)</x:f>
      </x:c>
      <x:c r="J5" s="15" t="str">
        <x:f>IF(COUNTA(Intake!K6)=0,"",Intake!K6)</x:f>
      </x:c>
      <x:c r="K5" s="37" t="str">
        <x:f>IF(COUNTA(Intake!L6)=0,"",Intake!L6)</x:f>
      </x:c>
      <x:c r="L5" s="38" t="str">
        <x:f>IF(COUNTA(Intake!M6)=0,"",Intake!M6)</x:f>
      </x:c>
      <x:c r="M5" s="15" t="str">
        <x:f>IF(COUNTA(Intake!N6)=0,"",Intake!N6)</x:f>
      </x:c>
      <x:c r="N5" s="15" t="str">
        <x:f>IF(COUNTA(Intake!O6)=0,"",Intake!O6)</x:f>
      </x:c>
      <x:c r="O5" s="15" t="str">
        <x:f>IF(COUNTA(Intake!P6)=0,"",Intake!P6)</x:f>
      </x:c>
      <x:c r="P5" s="15" t="str">
        <x:f>IF(COUNTA(Intake!Q6)=0,"",Intake!Q6)</x:f>
      </x:c>
      <x:c r="Q5" s="15" t="str">
        <x:f>IF(COUNTA(Intake!R6)=0,"",Intake!R6)</x:f>
      </x:c>
      <x:c r="R5" s="15" t="str">
        <x:f>IF(COUNTA(Intake!S6)=0,"",Intake!S6)</x:f>
      </x:c>
      <x:c r="S5" s="15" t="str">
        <x:f>IF(COUNTA(Intake!T6)=0,"",Intake!T6)</x:f>
      </x:c>
      <x:c r="T5" s="15" t="str">
        <x:f>IF(COUNTA(Intake!U6)=0,"",Intake!U6)</x:f>
      </x:c>
      <x:c r="U5" s="15" t="str">
        <x:f>IF(COUNTA(Intake!V6)=0,"",Intake!V6)</x:f>
      </x:c>
      <x:c r="V5" s="15" t="str">
        <x:f>Intake!W6</x:f>
        <x:v>DRAFT</x:v>
      </x:c>
      <x:c r="W5" s="34" t="b">
        <x:v>0</x:v>
      </x:c>
      <x:c r="X5" s="15" t="str"/>
      <x:c r="Y5" s="15" t="str"/>
      <x:c r="Z5" s="15" t="str"/>
      <x:c r="AA5" s="15" t="str"/>
    </x:row>
    <x:row r="6">
      <x:c r="A6" s="15" t="str">
        <x:f>Intake!A7</x:f>
        <x:v>OPEN-ING-006-MAIN-20260930-V01</x:v>
      </x:c>
      <x:c r="B6" s="15" t="str"/>
      <x:c r="C6" s="15" t="str">
        <x:f>Intake!B7</x:f>
        <x:v>INV-OPEN-20261001-V01</x:v>
      </x:c>
      <x:c r="D6" s="35" t="n">
        <x:f>Intake!C7</x:f>
        <x:v>46295</x:v>
      </x:c>
      <x:c r="E6" s="15" t="str">
        <x:f>Intake!E7</x:f>
        <x:v>ING-006</x:v>
      </x:c>
      <x:c r="F6" s="15" t="str">
        <x:f>Intake!D7</x:f>
        <x:v>MAIN</x:v>
      </x:c>
      <x:c r="G6" s="15" t="str">
        <x:f>Intake!G7</x:f>
        <x:v>gr</x:v>
      </x:c>
      <x:c r="H6" s="36" t="str">
        <x:f>IF(COUNTA(Intake!I7)=0,"",Intake!I7)</x:f>
      </x:c>
      <x:c r="I6" s="15" t="str">
        <x:f>IF(COUNTA(Intake!J7)=0,"",Intake!J7)</x:f>
      </x:c>
      <x:c r="J6" s="15" t="str">
        <x:f>IF(COUNTA(Intake!K7)=0,"",Intake!K7)</x:f>
      </x:c>
      <x:c r="K6" s="37" t="str">
        <x:f>IF(COUNTA(Intake!L7)=0,"",Intake!L7)</x:f>
      </x:c>
      <x:c r="L6" s="38" t="str">
        <x:f>IF(COUNTA(Intake!M7)=0,"",Intake!M7)</x:f>
      </x:c>
      <x:c r="M6" s="15" t="str">
        <x:f>IF(COUNTA(Intake!N7)=0,"",Intake!N7)</x:f>
      </x:c>
      <x:c r="N6" s="15" t="str">
        <x:f>IF(COUNTA(Intake!O7)=0,"",Intake!O7)</x:f>
      </x:c>
      <x:c r="O6" s="15" t="str">
        <x:f>IF(COUNTA(Intake!P7)=0,"",Intake!P7)</x:f>
      </x:c>
      <x:c r="P6" s="15" t="str">
        <x:f>IF(COUNTA(Intake!Q7)=0,"",Intake!Q7)</x:f>
      </x:c>
      <x:c r="Q6" s="15" t="str">
        <x:f>IF(COUNTA(Intake!R7)=0,"",Intake!R7)</x:f>
      </x:c>
      <x:c r="R6" s="15" t="str">
        <x:f>IF(COUNTA(Intake!S7)=0,"",Intake!S7)</x:f>
      </x:c>
      <x:c r="S6" s="15" t="str">
        <x:f>IF(COUNTA(Intake!T7)=0,"",Intake!T7)</x:f>
      </x:c>
      <x:c r="T6" s="15" t="str">
        <x:f>IF(COUNTA(Intake!U7)=0,"",Intake!U7)</x:f>
      </x:c>
      <x:c r="U6" s="15" t="str">
        <x:f>IF(COUNTA(Intake!V7)=0,"",Intake!V7)</x:f>
      </x:c>
      <x:c r="V6" s="15" t="str">
        <x:f>Intake!W7</x:f>
        <x:v>DRAFT</x:v>
      </x:c>
      <x:c r="W6" s="34" t="b">
        <x:v>0</x:v>
      </x:c>
      <x:c r="X6" s="15" t="str"/>
      <x:c r="Y6" s="15" t="str"/>
      <x:c r="Z6" s="15" t="str"/>
      <x:c r="AA6" s="15" t="str"/>
    </x:row>
    <x:row r="7">
      <x:c r="A7" s="15" t="str">
        <x:f>Intake!A8</x:f>
        <x:v>OPEN-ING-007-MAIN-20260930-V01</x:v>
      </x:c>
      <x:c r="B7" s="15" t="str"/>
      <x:c r="C7" s="15" t="str">
        <x:f>Intake!B8</x:f>
        <x:v>INV-OPEN-20261001-V01</x:v>
      </x:c>
      <x:c r="D7" s="35" t="n">
        <x:f>Intake!C8</x:f>
        <x:v>46295</x:v>
      </x:c>
      <x:c r="E7" s="15" t="str">
        <x:f>Intake!E8</x:f>
        <x:v>ING-007</x:v>
      </x:c>
      <x:c r="F7" s="15" t="str">
        <x:f>Intake!D8</x:f>
        <x:v>MAIN</x:v>
      </x:c>
      <x:c r="G7" s="15" t="str">
        <x:f>Intake!G8</x:f>
        <x:v>gr</x:v>
      </x:c>
      <x:c r="H7" s="36" t="str">
        <x:f>IF(COUNTA(Intake!I8)=0,"",Intake!I8)</x:f>
      </x:c>
      <x:c r="I7" s="15" t="str">
        <x:f>IF(COUNTA(Intake!J8)=0,"",Intake!J8)</x:f>
      </x:c>
      <x:c r="J7" s="15" t="str">
        <x:f>IF(COUNTA(Intake!K8)=0,"",Intake!K8)</x:f>
      </x:c>
      <x:c r="K7" s="37" t="str">
        <x:f>IF(COUNTA(Intake!L8)=0,"",Intake!L8)</x:f>
      </x:c>
      <x:c r="L7" s="38" t="str">
        <x:f>IF(COUNTA(Intake!M8)=0,"",Intake!M8)</x:f>
      </x:c>
      <x:c r="M7" s="15" t="str">
        <x:f>IF(COUNTA(Intake!N8)=0,"",Intake!N8)</x:f>
      </x:c>
      <x:c r="N7" s="15" t="str">
        <x:f>IF(COUNTA(Intake!O8)=0,"",Intake!O8)</x:f>
      </x:c>
      <x:c r="O7" s="15" t="str">
        <x:f>IF(COUNTA(Intake!P8)=0,"",Intake!P8)</x:f>
      </x:c>
      <x:c r="P7" s="15" t="str">
        <x:f>IF(COUNTA(Intake!Q8)=0,"",Intake!Q8)</x:f>
      </x:c>
      <x:c r="Q7" s="15" t="str">
        <x:f>IF(COUNTA(Intake!R8)=0,"",Intake!R8)</x:f>
      </x:c>
      <x:c r="R7" s="15" t="str">
        <x:f>IF(COUNTA(Intake!S8)=0,"",Intake!S8)</x:f>
      </x:c>
      <x:c r="S7" s="15" t="str">
        <x:f>IF(COUNTA(Intake!T8)=0,"",Intake!T8)</x:f>
      </x:c>
      <x:c r="T7" s="15" t="str">
        <x:f>IF(COUNTA(Intake!U8)=0,"",Intake!U8)</x:f>
      </x:c>
      <x:c r="U7" s="15" t="str">
        <x:f>IF(COUNTA(Intake!V8)=0,"",Intake!V8)</x:f>
      </x:c>
      <x:c r="V7" s="15" t="str">
        <x:f>Intake!W8</x:f>
        <x:v>DRAFT</x:v>
      </x:c>
      <x:c r="W7" s="34" t="b">
        <x:v>0</x:v>
      </x:c>
      <x:c r="X7" s="15" t="str"/>
      <x:c r="Y7" s="15" t="str"/>
      <x:c r="Z7" s="15" t="str"/>
      <x:c r="AA7" s="15" t="str"/>
    </x:row>
    <x:row r="8">
      <x:c r="A8" s="15" t="str">
        <x:f>Intake!A9</x:f>
        <x:v>OPEN-ING-008-MAIN-20260930-V01</x:v>
      </x:c>
      <x:c r="B8" s="15" t="str"/>
      <x:c r="C8" s="15" t="str">
        <x:f>Intake!B9</x:f>
        <x:v>INV-OPEN-20261001-V01</x:v>
      </x:c>
      <x:c r="D8" s="35" t="n">
        <x:f>Intake!C9</x:f>
        <x:v>46295</x:v>
      </x:c>
      <x:c r="E8" s="15" t="str">
        <x:f>Intake!E9</x:f>
        <x:v>ING-008</x:v>
      </x:c>
      <x:c r="F8" s="15" t="str">
        <x:f>Intake!D9</x:f>
        <x:v>MAIN</x:v>
      </x:c>
      <x:c r="G8" s="15" t="str">
        <x:f>Intake!G9</x:f>
        <x:v>gr</x:v>
      </x:c>
      <x:c r="H8" s="36" t="str">
        <x:f>IF(COUNTA(Intake!I9)=0,"",Intake!I9)</x:f>
      </x:c>
      <x:c r="I8" s="15" t="str">
        <x:f>IF(COUNTA(Intake!J9)=0,"",Intake!J9)</x:f>
      </x:c>
      <x:c r="J8" s="15" t="str">
        <x:f>IF(COUNTA(Intake!K9)=0,"",Intake!K9)</x:f>
      </x:c>
      <x:c r="K8" s="37" t="str">
        <x:f>IF(COUNTA(Intake!L9)=0,"",Intake!L9)</x:f>
      </x:c>
      <x:c r="L8" s="38" t="str">
        <x:f>IF(COUNTA(Intake!M9)=0,"",Intake!M9)</x:f>
      </x:c>
      <x:c r="M8" s="15" t="str">
        <x:f>IF(COUNTA(Intake!N9)=0,"",Intake!N9)</x:f>
      </x:c>
      <x:c r="N8" s="15" t="str">
        <x:f>IF(COUNTA(Intake!O9)=0,"",Intake!O9)</x:f>
      </x:c>
      <x:c r="O8" s="15" t="str">
        <x:f>IF(COUNTA(Intake!P9)=0,"",Intake!P9)</x:f>
      </x:c>
      <x:c r="P8" s="15" t="str">
        <x:f>IF(COUNTA(Intake!Q9)=0,"",Intake!Q9)</x:f>
      </x:c>
      <x:c r="Q8" s="15" t="str">
        <x:f>IF(COUNTA(Intake!R9)=0,"",Intake!R9)</x:f>
      </x:c>
      <x:c r="R8" s="15" t="str">
        <x:f>IF(COUNTA(Intake!S9)=0,"",Intake!S9)</x:f>
      </x:c>
      <x:c r="S8" s="15" t="str">
        <x:f>IF(COUNTA(Intake!T9)=0,"",Intake!T9)</x:f>
      </x:c>
      <x:c r="T8" s="15" t="str">
        <x:f>IF(COUNTA(Intake!U9)=0,"",Intake!U9)</x:f>
      </x:c>
      <x:c r="U8" s="15" t="str">
        <x:f>IF(COUNTA(Intake!V9)=0,"",Intake!V9)</x:f>
      </x:c>
      <x:c r="V8" s="15" t="str">
        <x:f>Intake!W9</x:f>
        <x:v>DRAFT</x:v>
      </x:c>
      <x:c r="W8" s="34" t="b">
        <x:v>0</x:v>
      </x:c>
      <x:c r="X8" s="15" t="str"/>
      <x:c r="Y8" s="15" t="str"/>
      <x:c r="Z8" s="15" t="str"/>
      <x:c r="AA8" s="15" t="str"/>
    </x:row>
    <x:row r="9">
      <x:c r="A9" s="15" t="str">
        <x:f>Intake!A10</x:f>
        <x:v>OPEN-ING-009-MAIN-20260930-V01</x:v>
      </x:c>
      <x:c r="B9" s="15" t="str"/>
      <x:c r="C9" s="15" t="str">
        <x:f>Intake!B10</x:f>
        <x:v>INV-OPEN-20261001-V01</x:v>
      </x:c>
      <x:c r="D9" s="35" t="n">
        <x:f>Intake!C10</x:f>
        <x:v>46295</x:v>
      </x:c>
      <x:c r="E9" s="15" t="str">
        <x:f>Intake!E10</x:f>
        <x:v>ING-009</x:v>
      </x:c>
      <x:c r="F9" s="15" t="str">
        <x:f>Intake!D10</x:f>
        <x:v>MAIN</x:v>
      </x:c>
      <x:c r="G9" s="15" t="str">
        <x:f>Intake!G10</x:f>
        <x:v>ml</x:v>
      </x:c>
      <x:c r="H9" s="36" t="str">
        <x:f>IF(COUNTA(Intake!I10)=0,"",Intake!I10)</x:f>
      </x:c>
      <x:c r="I9" s="15" t="str">
        <x:f>IF(COUNTA(Intake!J10)=0,"",Intake!J10)</x:f>
      </x:c>
      <x:c r="J9" s="15" t="str">
        <x:f>IF(COUNTA(Intake!K10)=0,"",Intake!K10)</x:f>
      </x:c>
      <x:c r="K9" s="37" t="str">
        <x:f>IF(COUNTA(Intake!L10)=0,"",Intake!L10)</x:f>
      </x:c>
      <x:c r="L9" s="38" t="str">
        <x:f>IF(COUNTA(Intake!M10)=0,"",Intake!M10)</x:f>
      </x:c>
      <x:c r="M9" s="15" t="str">
        <x:f>IF(COUNTA(Intake!N10)=0,"",Intake!N10)</x:f>
      </x:c>
      <x:c r="N9" s="15" t="str">
        <x:f>IF(COUNTA(Intake!O10)=0,"",Intake!O10)</x:f>
      </x:c>
      <x:c r="O9" s="15" t="str">
        <x:f>IF(COUNTA(Intake!P10)=0,"",Intake!P10)</x:f>
      </x:c>
      <x:c r="P9" s="15" t="str">
        <x:f>IF(COUNTA(Intake!Q10)=0,"",Intake!Q10)</x:f>
      </x:c>
      <x:c r="Q9" s="15" t="str">
        <x:f>IF(COUNTA(Intake!R10)=0,"",Intake!R10)</x:f>
      </x:c>
      <x:c r="R9" s="15" t="str">
        <x:f>IF(COUNTA(Intake!S10)=0,"",Intake!S10)</x:f>
      </x:c>
      <x:c r="S9" s="15" t="str">
        <x:f>IF(COUNTA(Intake!T10)=0,"",Intake!T10)</x:f>
      </x:c>
      <x:c r="T9" s="15" t="str">
        <x:f>IF(COUNTA(Intake!U10)=0,"",Intake!U10)</x:f>
      </x:c>
      <x:c r="U9" s="15" t="str">
        <x:f>IF(COUNTA(Intake!V10)=0,"",Intake!V10)</x:f>
      </x:c>
      <x:c r="V9" s="15" t="str">
        <x:f>Intake!W10</x:f>
        <x:v>DRAFT</x:v>
      </x:c>
      <x:c r="W9" s="34" t="b">
        <x:v>0</x:v>
      </x:c>
      <x:c r="X9" s="15" t="str"/>
      <x:c r="Y9" s="15" t="str"/>
      <x:c r="Z9" s="15" t="str"/>
      <x:c r="AA9" s="15" t="str"/>
    </x:row>
    <x:row r="10">
      <x:c r="A10" s="15" t="str">
        <x:f>Intake!A11</x:f>
        <x:v>OPEN-ING-010-MAIN-20260930-V01</x:v>
      </x:c>
      <x:c r="B10" s="15" t="str"/>
      <x:c r="C10" s="15" t="str">
        <x:f>Intake!B11</x:f>
        <x:v>INV-OPEN-20261001-V01</x:v>
      </x:c>
      <x:c r="D10" s="35" t="n">
        <x:f>Intake!C11</x:f>
        <x:v>46295</x:v>
      </x:c>
      <x:c r="E10" s="15" t="str">
        <x:f>Intake!E11</x:f>
        <x:v>ING-010</x:v>
      </x:c>
      <x:c r="F10" s="15" t="str">
        <x:f>Intake!D11</x:f>
        <x:v>MAIN</x:v>
      </x:c>
      <x:c r="G10" s="15" t="str">
        <x:f>Intake!G11</x:f>
        <x:v>gr</x:v>
      </x:c>
      <x:c r="H10" s="36" t="str">
        <x:f>IF(COUNTA(Intake!I11)=0,"",Intake!I11)</x:f>
      </x:c>
      <x:c r="I10" s="15" t="str">
        <x:f>IF(COUNTA(Intake!J11)=0,"",Intake!J11)</x:f>
      </x:c>
      <x:c r="J10" s="15" t="str">
        <x:f>IF(COUNTA(Intake!K11)=0,"",Intake!K11)</x:f>
      </x:c>
      <x:c r="K10" s="37" t="str">
        <x:f>IF(COUNTA(Intake!L11)=0,"",Intake!L11)</x:f>
      </x:c>
      <x:c r="L10" s="38" t="str">
        <x:f>IF(COUNTA(Intake!M11)=0,"",Intake!M11)</x:f>
      </x:c>
      <x:c r="M10" s="15" t="str">
        <x:f>IF(COUNTA(Intake!N11)=0,"",Intake!N11)</x:f>
      </x:c>
      <x:c r="N10" s="15" t="str">
        <x:f>IF(COUNTA(Intake!O11)=0,"",Intake!O11)</x:f>
      </x:c>
      <x:c r="O10" s="15" t="str">
        <x:f>IF(COUNTA(Intake!P11)=0,"",Intake!P11)</x:f>
      </x:c>
      <x:c r="P10" s="15" t="str">
        <x:f>IF(COUNTA(Intake!Q11)=0,"",Intake!Q11)</x:f>
      </x:c>
      <x:c r="Q10" s="15" t="str">
        <x:f>IF(COUNTA(Intake!R11)=0,"",Intake!R11)</x:f>
      </x:c>
      <x:c r="R10" s="15" t="str">
        <x:f>IF(COUNTA(Intake!S11)=0,"",Intake!S11)</x:f>
      </x:c>
      <x:c r="S10" s="15" t="str">
        <x:f>IF(COUNTA(Intake!T11)=0,"",Intake!T11)</x:f>
      </x:c>
      <x:c r="T10" s="15" t="str">
        <x:f>IF(COUNTA(Intake!U11)=0,"",Intake!U11)</x:f>
      </x:c>
      <x:c r="U10" s="15" t="str">
        <x:f>IF(COUNTA(Intake!V11)=0,"",Intake!V11)</x:f>
      </x:c>
      <x:c r="V10" s="15" t="str">
        <x:f>Intake!W11</x:f>
        <x:v>DRAFT</x:v>
      </x:c>
      <x:c r="W10" s="34" t="b">
        <x:v>0</x:v>
      </x:c>
      <x:c r="X10" s="15" t="str"/>
      <x:c r="Y10" s="15" t="str"/>
      <x:c r="Z10" s="15" t="str"/>
      <x:c r="AA10" s="15" t="str"/>
    </x:row>
    <x:row r="11">
      <x:c r="A11" s="15" t="str">
        <x:f>Intake!A12</x:f>
        <x:v>OPEN-ING-011-MAIN-20260930-V01</x:v>
      </x:c>
      <x:c r="B11" s="15" t="str"/>
      <x:c r="C11" s="15" t="str">
        <x:f>Intake!B12</x:f>
        <x:v>INV-OPEN-20261001-V01</x:v>
      </x:c>
      <x:c r="D11" s="35" t="n">
        <x:f>Intake!C12</x:f>
        <x:v>46295</x:v>
      </x:c>
      <x:c r="E11" s="15" t="str">
        <x:f>Intake!E12</x:f>
        <x:v>ING-011</x:v>
      </x:c>
      <x:c r="F11" s="15" t="str">
        <x:f>Intake!D12</x:f>
        <x:v>MAIN</x:v>
      </x:c>
      <x:c r="G11" s="15" t="str">
        <x:f>Intake!G12</x:f>
        <x:v>ml</x:v>
      </x:c>
      <x:c r="H11" s="36" t="str">
        <x:f>IF(COUNTA(Intake!I12)=0,"",Intake!I12)</x:f>
      </x:c>
      <x:c r="I11" s="15" t="str">
        <x:f>IF(COUNTA(Intake!J12)=0,"",Intake!J12)</x:f>
      </x:c>
      <x:c r="J11" s="15" t="str">
        <x:f>IF(COUNTA(Intake!K12)=0,"",Intake!K12)</x:f>
      </x:c>
      <x:c r="K11" s="37" t="str">
        <x:f>IF(COUNTA(Intake!L12)=0,"",Intake!L12)</x:f>
      </x:c>
      <x:c r="L11" s="38" t="str">
        <x:f>IF(COUNTA(Intake!M12)=0,"",Intake!M12)</x:f>
      </x:c>
      <x:c r="M11" s="15" t="str">
        <x:f>IF(COUNTA(Intake!N12)=0,"",Intake!N12)</x:f>
      </x:c>
      <x:c r="N11" s="15" t="str">
        <x:f>IF(COUNTA(Intake!O12)=0,"",Intake!O12)</x:f>
      </x:c>
      <x:c r="O11" s="15" t="str">
        <x:f>IF(COUNTA(Intake!P12)=0,"",Intake!P12)</x:f>
      </x:c>
      <x:c r="P11" s="15" t="str">
        <x:f>IF(COUNTA(Intake!Q12)=0,"",Intake!Q12)</x:f>
      </x:c>
      <x:c r="Q11" s="15" t="str">
        <x:f>IF(COUNTA(Intake!R12)=0,"",Intake!R12)</x:f>
      </x:c>
      <x:c r="R11" s="15" t="str">
        <x:f>IF(COUNTA(Intake!S12)=0,"",Intake!S12)</x:f>
      </x:c>
      <x:c r="S11" s="15" t="str">
        <x:f>IF(COUNTA(Intake!T12)=0,"",Intake!T12)</x:f>
      </x:c>
      <x:c r="T11" s="15" t="str">
        <x:f>IF(COUNTA(Intake!U12)=0,"",Intake!U12)</x:f>
      </x:c>
      <x:c r="U11" s="15" t="str">
        <x:f>IF(COUNTA(Intake!V12)=0,"",Intake!V12)</x:f>
      </x:c>
      <x:c r="V11" s="15" t="str">
        <x:f>Intake!W12</x:f>
        <x:v>DRAFT</x:v>
      </x:c>
      <x:c r="W11" s="34" t="b">
        <x:v>0</x:v>
      </x:c>
      <x:c r="X11" s="15" t="str"/>
      <x:c r="Y11" s="15" t="str"/>
      <x:c r="Z11" s="15" t="str"/>
      <x:c r="AA11" s="15" t="str"/>
    </x:row>
    <x:row r="12">
      <x:c r="A12" s="15" t="str">
        <x:f>Intake!A13</x:f>
        <x:v>OPEN-ING-012-MAIN-20260930-V01</x:v>
      </x:c>
      <x:c r="B12" s="15" t="str"/>
      <x:c r="C12" s="15" t="str">
        <x:f>Intake!B13</x:f>
        <x:v>INV-OPEN-20261001-V01</x:v>
      </x:c>
      <x:c r="D12" s="35" t="n">
        <x:f>Intake!C13</x:f>
        <x:v>46295</x:v>
      </x:c>
      <x:c r="E12" s="15" t="str">
        <x:f>Intake!E13</x:f>
        <x:v>ING-012</x:v>
      </x:c>
      <x:c r="F12" s="15" t="str">
        <x:f>Intake!D13</x:f>
        <x:v>MAIN</x:v>
      </x:c>
      <x:c r="G12" s="15" t="str">
        <x:f>Intake!G13</x:f>
        <x:v>gr</x:v>
      </x:c>
      <x:c r="H12" s="36" t="str">
        <x:f>IF(COUNTA(Intake!I13)=0,"",Intake!I13)</x:f>
      </x:c>
      <x:c r="I12" s="15" t="str">
        <x:f>IF(COUNTA(Intake!J13)=0,"",Intake!J13)</x:f>
      </x:c>
      <x:c r="J12" s="15" t="str">
        <x:f>IF(COUNTA(Intake!K13)=0,"",Intake!K13)</x:f>
      </x:c>
      <x:c r="K12" s="37" t="str">
        <x:f>IF(COUNTA(Intake!L13)=0,"",Intake!L13)</x:f>
      </x:c>
      <x:c r="L12" s="38" t="str">
        <x:f>IF(COUNTA(Intake!M13)=0,"",Intake!M13)</x:f>
      </x:c>
      <x:c r="M12" s="15" t="str">
        <x:f>IF(COUNTA(Intake!N13)=0,"",Intake!N13)</x:f>
      </x:c>
      <x:c r="N12" s="15" t="str">
        <x:f>IF(COUNTA(Intake!O13)=0,"",Intake!O13)</x:f>
      </x:c>
      <x:c r="O12" s="15" t="str">
        <x:f>IF(COUNTA(Intake!P13)=0,"",Intake!P13)</x:f>
      </x:c>
      <x:c r="P12" s="15" t="str">
        <x:f>IF(COUNTA(Intake!Q13)=0,"",Intake!Q13)</x:f>
      </x:c>
      <x:c r="Q12" s="15" t="str">
        <x:f>IF(COUNTA(Intake!R13)=0,"",Intake!R13)</x:f>
      </x:c>
      <x:c r="R12" s="15" t="str">
        <x:f>IF(COUNTA(Intake!S13)=0,"",Intake!S13)</x:f>
      </x:c>
      <x:c r="S12" s="15" t="str">
        <x:f>IF(COUNTA(Intake!T13)=0,"",Intake!T13)</x:f>
      </x:c>
      <x:c r="T12" s="15" t="str">
        <x:f>IF(COUNTA(Intake!U13)=0,"",Intake!U13)</x:f>
      </x:c>
      <x:c r="U12" s="15" t="str">
        <x:f>IF(COUNTA(Intake!V13)=0,"",Intake!V13)</x:f>
      </x:c>
      <x:c r="V12" s="15" t="str">
        <x:f>Intake!W13</x:f>
        <x:v>DRAFT</x:v>
      </x:c>
      <x:c r="W12" s="34" t="b">
        <x:v>0</x:v>
      </x:c>
      <x:c r="X12" s="15" t="str"/>
      <x:c r="Y12" s="15" t="str"/>
      <x:c r="Z12" s="15" t="str"/>
      <x:c r="AA12" s="15" t="str"/>
    </x:row>
    <x:row r="13">
      <x:c r="A13" s="15" t="str">
        <x:f>Intake!A14</x:f>
        <x:v>OPEN-ING-013-MAIN-20260930-V01</x:v>
      </x:c>
      <x:c r="B13" s="15" t="str"/>
      <x:c r="C13" s="15" t="str">
        <x:f>Intake!B14</x:f>
        <x:v>INV-OPEN-20261001-V01</x:v>
      </x:c>
      <x:c r="D13" s="35" t="n">
        <x:f>Intake!C14</x:f>
        <x:v>46295</x:v>
      </x:c>
      <x:c r="E13" s="15" t="str">
        <x:f>Intake!E14</x:f>
        <x:v>ING-013</x:v>
      </x:c>
      <x:c r="F13" s="15" t="str">
        <x:f>Intake!D14</x:f>
        <x:v>MAIN</x:v>
      </x:c>
      <x:c r="G13" s="15" t="str">
        <x:f>Intake!G14</x:f>
        <x:v>gr</x:v>
      </x:c>
      <x:c r="H13" s="36" t="str">
        <x:f>IF(COUNTA(Intake!I14)=0,"",Intake!I14)</x:f>
      </x:c>
      <x:c r="I13" s="15" t="str">
        <x:f>IF(COUNTA(Intake!J14)=0,"",Intake!J14)</x:f>
      </x:c>
      <x:c r="J13" s="15" t="str">
        <x:f>IF(COUNTA(Intake!K14)=0,"",Intake!K14)</x:f>
      </x:c>
      <x:c r="K13" s="37" t="str">
        <x:f>IF(COUNTA(Intake!L14)=0,"",Intake!L14)</x:f>
      </x:c>
      <x:c r="L13" s="38" t="str">
        <x:f>IF(COUNTA(Intake!M14)=0,"",Intake!M14)</x:f>
      </x:c>
      <x:c r="M13" s="15" t="str">
        <x:f>IF(COUNTA(Intake!N14)=0,"",Intake!N14)</x:f>
      </x:c>
      <x:c r="N13" s="15" t="str">
        <x:f>IF(COUNTA(Intake!O14)=0,"",Intake!O14)</x:f>
      </x:c>
      <x:c r="O13" s="15" t="str">
        <x:f>IF(COUNTA(Intake!P14)=0,"",Intake!P14)</x:f>
      </x:c>
      <x:c r="P13" s="15" t="str">
        <x:f>IF(COUNTA(Intake!Q14)=0,"",Intake!Q14)</x:f>
      </x:c>
      <x:c r="Q13" s="15" t="str">
        <x:f>IF(COUNTA(Intake!R14)=0,"",Intake!R14)</x:f>
      </x:c>
      <x:c r="R13" s="15" t="str">
        <x:f>IF(COUNTA(Intake!S14)=0,"",Intake!S14)</x:f>
      </x:c>
      <x:c r="S13" s="15" t="str">
        <x:f>IF(COUNTA(Intake!T14)=0,"",Intake!T14)</x:f>
      </x:c>
      <x:c r="T13" s="15" t="str">
        <x:f>IF(COUNTA(Intake!U14)=0,"",Intake!U14)</x:f>
      </x:c>
      <x:c r="U13" s="15" t="str">
        <x:f>IF(COUNTA(Intake!V14)=0,"",Intake!V14)</x:f>
      </x:c>
      <x:c r="V13" s="15" t="str">
        <x:f>Intake!W14</x:f>
        <x:v>DRAFT</x:v>
      </x:c>
      <x:c r="W13" s="34" t="b">
        <x:v>0</x:v>
      </x:c>
      <x:c r="X13" s="15" t="str"/>
      <x:c r="Y13" s="15" t="str"/>
      <x:c r="Z13" s="15" t="str"/>
      <x:c r="AA13" s="15" t="str"/>
    </x:row>
    <x:row r="14">
      <x:c r="A14" s="15" t="str">
        <x:f>Intake!A15</x:f>
        <x:v>OPEN-ING-014-MAIN-20260930-V01</x:v>
      </x:c>
      <x:c r="B14" s="15" t="str"/>
      <x:c r="C14" s="15" t="str">
        <x:f>Intake!B15</x:f>
        <x:v>INV-OPEN-20261001-V01</x:v>
      </x:c>
      <x:c r="D14" s="35" t="n">
        <x:f>Intake!C15</x:f>
        <x:v>46295</x:v>
      </x:c>
      <x:c r="E14" s="15" t="str">
        <x:f>Intake!E15</x:f>
        <x:v>ING-014</x:v>
      </x:c>
      <x:c r="F14" s="15" t="str">
        <x:f>Intake!D15</x:f>
        <x:v>MAIN</x:v>
      </x:c>
      <x:c r="G14" s="15" t="str">
        <x:f>Intake!G15</x:f>
        <x:v>gr</x:v>
      </x:c>
      <x:c r="H14" s="36" t="str">
        <x:f>IF(COUNTA(Intake!I15)=0,"",Intake!I15)</x:f>
      </x:c>
      <x:c r="I14" s="15" t="str">
        <x:f>IF(COUNTA(Intake!J15)=0,"",Intake!J15)</x:f>
      </x:c>
      <x:c r="J14" s="15" t="str">
        <x:f>IF(COUNTA(Intake!K15)=0,"",Intake!K15)</x:f>
      </x:c>
      <x:c r="K14" s="37" t="str">
        <x:f>IF(COUNTA(Intake!L15)=0,"",Intake!L15)</x:f>
      </x:c>
      <x:c r="L14" s="38" t="str">
        <x:f>IF(COUNTA(Intake!M15)=0,"",Intake!M15)</x:f>
      </x:c>
      <x:c r="M14" s="15" t="str">
        <x:f>IF(COUNTA(Intake!N15)=0,"",Intake!N15)</x:f>
      </x:c>
      <x:c r="N14" s="15" t="str">
        <x:f>IF(COUNTA(Intake!O15)=0,"",Intake!O15)</x:f>
      </x:c>
      <x:c r="O14" s="15" t="str">
        <x:f>IF(COUNTA(Intake!P15)=0,"",Intake!P15)</x:f>
      </x:c>
      <x:c r="P14" s="15" t="str">
        <x:f>IF(COUNTA(Intake!Q15)=0,"",Intake!Q15)</x:f>
      </x:c>
      <x:c r="Q14" s="15" t="str">
        <x:f>IF(COUNTA(Intake!R15)=0,"",Intake!R15)</x:f>
      </x:c>
      <x:c r="R14" s="15" t="str">
        <x:f>IF(COUNTA(Intake!S15)=0,"",Intake!S15)</x:f>
      </x:c>
      <x:c r="S14" s="15" t="str">
        <x:f>IF(COUNTA(Intake!T15)=0,"",Intake!T15)</x:f>
      </x:c>
      <x:c r="T14" s="15" t="str">
        <x:f>IF(COUNTA(Intake!U15)=0,"",Intake!U15)</x:f>
      </x:c>
      <x:c r="U14" s="15" t="str">
        <x:f>IF(COUNTA(Intake!V15)=0,"",Intake!V15)</x:f>
      </x:c>
      <x:c r="V14" s="15" t="str">
        <x:f>Intake!W15</x:f>
        <x:v>DRAFT</x:v>
      </x:c>
      <x:c r="W14" s="34" t="b">
        <x:v>0</x:v>
      </x:c>
      <x:c r="X14" s="15" t="str"/>
      <x:c r="Y14" s="15" t="str"/>
      <x:c r="Z14" s="15" t="str"/>
      <x:c r="AA14" s="15" t="str"/>
    </x:row>
    <x:row r="15">
      <x:c r="A15" s="15" t="str">
        <x:f>Intake!A16</x:f>
        <x:v>OPEN-ING-015-MAIN-20260930-V01</x:v>
      </x:c>
      <x:c r="B15" s="15" t="str"/>
      <x:c r="C15" s="15" t="str">
        <x:f>Intake!B16</x:f>
        <x:v>INV-OPEN-20261001-V01</x:v>
      </x:c>
      <x:c r="D15" s="35" t="n">
        <x:f>Intake!C16</x:f>
        <x:v>46295</x:v>
      </x:c>
      <x:c r="E15" s="15" t="str">
        <x:f>Intake!E16</x:f>
        <x:v>ING-015</x:v>
      </x:c>
      <x:c r="F15" s="15" t="str">
        <x:f>Intake!D16</x:f>
        <x:v>MAIN</x:v>
      </x:c>
      <x:c r="G15" s="15" t="str">
        <x:f>Intake!G16</x:f>
        <x:v>gr</x:v>
      </x:c>
      <x:c r="H15" s="36" t="str">
        <x:f>IF(COUNTA(Intake!I16)=0,"",Intake!I16)</x:f>
      </x:c>
      <x:c r="I15" s="15" t="str">
        <x:f>IF(COUNTA(Intake!J16)=0,"",Intake!J16)</x:f>
      </x:c>
      <x:c r="J15" s="15" t="str">
        <x:f>IF(COUNTA(Intake!K16)=0,"",Intake!K16)</x:f>
      </x:c>
      <x:c r="K15" s="37" t="str">
        <x:f>IF(COUNTA(Intake!L16)=0,"",Intake!L16)</x:f>
      </x:c>
      <x:c r="L15" s="38" t="str">
        <x:f>IF(COUNTA(Intake!M16)=0,"",Intake!M16)</x:f>
      </x:c>
      <x:c r="M15" s="15" t="str">
        <x:f>IF(COUNTA(Intake!N16)=0,"",Intake!N16)</x:f>
      </x:c>
      <x:c r="N15" s="15" t="str">
        <x:f>IF(COUNTA(Intake!O16)=0,"",Intake!O16)</x:f>
      </x:c>
      <x:c r="O15" s="15" t="str">
        <x:f>IF(COUNTA(Intake!P16)=0,"",Intake!P16)</x:f>
      </x:c>
      <x:c r="P15" s="15" t="str">
        <x:f>IF(COUNTA(Intake!Q16)=0,"",Intake!Q16)</x:f>
      </x:c>
      <x:c r="Q15" s="15" t="str">
        <x:f>IF(COUNTA(Intake!R16)=0,"",Intake!R16)</x:f>
      </x:c>
      <x:c r="R15" s="15" t="str">
        <x:f>IF(COUNTA(Intake!S16)=0,"",Intake!S16)</x:f>
      </x:c>
      <x:c r="S15" s="15" t="str">
        <x:f>IF(COUNTA(Intake!T16)=0,"",Intake!T16)</x:f>
      </x:c>
      <x:c r="T15" s="15" t="str">
        <x:f>IF(COUNTA(Intake!U16)=0,"",Intake!U16)</x:f>
      </x:c>
      <x:c r="U15" s="15" t="str">
        <x:f>IF(COUNTA(Intake!V16)=0,"",Intake!V16)</x:f>
      </x:c>
      <x:c r="V15" s="15" t="str">
        <x:f>Intake!W16</x:f>
        <x:v>DRAFT</x:v>
      </x:c>
      <x:c r="W15" s="34" t="b">
        <x:v>0</x:v>
      </x:c>
      <x:c r="X15" s="15" t="str"/>
      <x:c r="Y15" s="15" t="str"/>
      <x:c r="Z15" s="15" t="str"/>
      <x:c r="AA15" s="15" t="str"/>
    </x:row>
    <x:row r="16">
      <x:c r="A16" s="15" t="str">
        <x:f>Intake!A17</x:f>
        <x:v>OPEN-ING-016-MAIN-20260930-V01</x:v>
      </x:c>
      <x:c r="B16" s="15" t="str"/>
      <x:c r="C16" s="15" t="str">
        <x:f>Intake!B17</x:f>
        <x:v>INV-OPEN-20261001-V01</x:v>
      </x:c>
      <x:c r="D16" s="35" t="n">
        <x:f>Intake!C17</x:f>
        <x:v>46295</x:v>
      </x:c>
      <x:c r="E16" s="15" t="str">
        <x:f>Intake!E17</x:f>
        <x:v>ING-016</x:v>
      </x:c>
      <x:c r="F16" s="15" t="str">
        <x:f>Intake!D17</x:f>
        <x:v>MAIN</x:v>
      </x:c>
      <x:c r="G16" s="15" t="str">
        <x:f>Intake!G17</x:f>
        <x:v>gr</x:v>
      </x:c>
      <x:c r="H16" s="36" t="str">
        <x:f>IF(COUNTA(Intake!I17)=0,"",Intake!I17)</x:f>
      </x:c>
      <x:c r="I16" s="15" t="str">
        <x:f>IF(COUNTA(Intake!J17)=0,"",Intake!J17)</x:f>
      </x:c>
      <x:c r="J16" s="15" t="str">
        <x:f>IF(COUNTA(Intake!K17)=0,"",Intake!K17)</x:f>
      </x:c>
      <x:c r="K16" s="37" t="str">
        <x:f>IF(COUNTA(Intake!L17)=0,"",Intake!L17)</x:f>
      </x:c>
      <x:c r="L16" s="38" t="str">
        <x:f>IF(COUNTA(Intake!M17)=0,"",Intake!M17)</x:f>
      </x:c>
      <x:c r="M16" s="15" t="str">
        <x:f>IF(COUNTA(Intake!N17)=0,"",Intake!N17)</x:f>
      </x:c>
      <x:c r="N16" s="15" t="str">
        <x:f>IF(COUNTA(Intake!O17)=0,"",Intake!O17)</x:f>
      </x:c>
      <x:c r="O16" s="15" t="str">
        <x:f>IF(COUNTA(Intake!P17)=0,"",Intake!P17)</x:f>
      </x:c>
      <x:c r="P16" s="15" t="str">
        <x:f>IF(COUNTA(Intake!Q17)=0,"",Intake!Q17)</x:f>
      </x:c>
      <x:c r="Q16" s="15" t="str">
        <x:f>IF(COUNTA(Intake!R17)=0,"",Intake!R17)</x:f>
      </x:c>
      <x:c r="R16" s="15" t="str">
        <x:f>IF(COUNTA(Intake!S17)=0,"",Intake!S17)</x:f>
      </x:c>
      <x:c r="S16" s="15" t="str">
        <x:f>IF(COUNTA(Intake!T17)=0,"",Intake!T17)</x:f>
      </x:c>
      <x:c r="T16" s="15" t="str">
        <x:f>IF(COUNTA(Intake!U17)=0,"",Intake!U17)</x:f>
      </x:c>
      <x:c r="U16" s="15" t="str">
        <x:f>IF(COUNTA(Intake!V17)=0,"",Intake!V17)</x:f>
      </x:c>
      <x:c r="V16" s="15" t="str">
        <x:f>Intake!W17</x:f>
        <x:v>DRAFT</x:v>
      </x:c>
      <x:c r="W16" s="34" t="b">
        <x:v>0</x:v>
      </x:c>
      <x:c r="X16" s="15" t="str"/>
      <x:c r="Y16" s="15" t="str"/>
      <x:c r="Z16" s="15" t="str"/>
      <x:c r="AA16" s="15" t="str"/>
    </x:row>
    <x:row r="17">
      <x:c r="A17" s="15" t="str">
        <x:f>Intake!A18</x:f>
        <x:v>OPEN-ING-017-MAIN-20260930-V01</x:v>
      </x:c>
      <x:c r="B17" s="15" t="str"/>
      <x:c r="C17" s="15" t="str">
        <x:f>Intake!B18</x:f>
        <x:v>INV-OPEN-20261001-V01</x:v>
      </x:c>
      <x:c r="D17" s="35" t="n">
        <x:f>Intake!C18</x:f>
        <x:v>46295</x:v>
      </x:c>
      <x:c r="E17" s="15" t="str">
        <x:f>Intake!E18</x:f>
        <x:v>ING-017</x:v>
      </x:c>
      <x:c r="F17" s="15" t="str">
        <x:f>Intake!D18</x:f>
        <x:v>MAIN</x:v>
      </x:c>
      <x:c r="G17" s="15" t="str">
        <x:f>Intake!G18</x:f>
        <x:v>ml</x:v>
      </x:c>
      <x:c r="H17" s="36" t="str">
        <x:f>IF(COUNTA(Intake!I18)=0,"",Intake!I18)</x:f>
      </x:c>
      <x:c r="I17" s="15" t="str">
        <x:f>IF(COUNTA(Intake!J18)=0,"",Intake!J18)</x:f>
      </x:c>
      <x:c r="J17" s="15" t="str">
        <x:f>IF(COUNTA(Intake!K18)=0,"",Intake!K18)</x:f>
      </x:c>
      <x:c r="K17" s="37" t="str">
        <x:f>IF(COUNTA(Intake!L18)=0,"",Intake!L18)</x:f>
      </x:c>
      <x:c r="L17" s="38" t="str">
        <x:f>IF(COUNTA(Intake!M18)=0,"",Intake!M18)</x:f>
      </x:c>
      <x:c r="M17" s="15" t="str">
        <x:f>IF(COUNTA(Intake!N18)=0,"",Intake!N18)</x:f>
      </x:c>
      <x:c r="N17" s="15" t="str">
        <x:f>IF(COUNTA(Intake!O18)=0,"",Intake!O18)</x:f>
      </x:c>
      <x:c r="O17" s="15" t="str">
        <x:f>IF(COUNTA(Intake!P18)=0,"",Intake!P18)</x:f>
      </x:c>
      <x:c r="P17" s="15" t="str">
        <x:f>IF(COUNTA(Intake!Q18)=0,"",Intake!Q18)</x:f>
      </x:c>
      <x:c r="Q17" s="15" t="str">
        <x:f>IF(COUNTA(Intake!R18)=0,"",Intake!R18)</x:f>
      </x:c>
      <x:c r="R17" s="15" t="str">
        <x:f>IF(COUNTA(Intake!S18)=0,"",Intake!S18)</x:f>
      </x:c>
      <x:c r="S17" s="15" t="str">
        <x:f>IF(COUNTA(Intake!T18)=0,"",Intake!T18)</x:f>
      </x:c>
      <x:c r="T17" s="15" t="str">
        <x:f>IF(COUNTA(Intake!U18)=0,"",Intake!U18)</x:f>
      </x:c>
      <x:c r="U17" s="15" t="str">
        <x:f>IF(COUNTA(Intake!V18)=0,"",Intake!V18)</x:f>
      </x:c>
      <x:c r="V17" s="15" t="str">
        <x:f>Intake!W18</x:f>
        <x:v>DRAFT</x:v>
      </x:c>
      <x:c r="W17" s="34" t="b">
        <x:v>0</x:v>
      </x:c>
      <x:c r="X17" s="15" t="str"/>
      <x:c r="Y17" s="15" t="str"/>
      <x:c r="Z17" s="15" t="str"/>
      <x:c r="AA17" s="15" t="str"/>
    </x:row>
    <x:row r="18">
      <x:c r="A18" s="15" t="str">
        <x:f>Intake!A19</x:f>
        <x:v>OPEN-ING-019-MAIN-20260930-V01</x:v>
      </x:c>
      <x:c r="B18" s="15" t="str"/>
      <x:c r="C18" s="15" t="str">
        <x:f>Intake!B19</x:f>
        <x:v>INV-OPEN-20261001-V01</x:v>
      </x:c>
      <x:c r="D18" s="35" t="n">
        <x:f>Intake!C19</x:f>
        <x:v>46295</x:v>
      </x:c>
      <x:c r="E18" s="15" t="str">
        <x:f>Intake!E19</x:f>
        <x:v>ING-019</x:v>
      </x:c>
      <x:c r="F18" s="15" t="str">
        <x:f>Intake!D19</x:f>
        <x:v>MAIN</x:v>
      </x:c>
      <x:c r="G18" s="15" t="str">
        <x:f>Intake!G19</x:f>
        <x:v>ml</x:v>
      </x:c>
      <x:c r="H18" s="36" t="str">
        <x:f>IF(COUNTA(Intake!I19)=0,"",Intake!I19)</x:f>
      </x:c>
      <x:c r="I18" s="15" t="str">
        <x:f>IF(COUNTA(Intake!J19)=0,"",Intake!J19)</x:f>
      </x:c>
      <x:c r="J18" s="15" t="str">
        <x:f>IF(COUNTA(Intake!K19)=0,"",Intake!K19)</x:f>
      </x:c>
      <x:c r="K18" s="37" t="str">
        <x:f>IF(COUNTA(Intake!L19)=0,"",Intake!L19)</x:f>
      </x:c>
      <x:c r="L18" s="38" t="str">
        <x:f>IF(COUNTA(Intake!M19)=0,"",Intake!M19)</x:f>
      </x:c>
      <x:c r="M18" s="15" t="str">
        <x:f>IF(COUNTA(Intake!N19)=0,"",Intake!N19)</x:f>
      </x:c>
      <x:c r="N18" s="15" t="str">
        <x:f>IF(COUNTA(Intake!O19)=0,"",Intake!O19)</x:f>
      </x:c>
      <x:c r="O18" s="15" t="str">
        <x:f>IF(COUNTA(Intake!P19)=0,"",Intake!P19)</x:f>
      </x:c>
      <x:c r="P18" s="15" t="str">
        <x:f>IF(COUNTA(Intake!Q19)=0,"",Intake!Q19)</x:f>
      </x:c>
      <x:c r="Q18" s="15" t="str">
        <x:f>IF(COUNTA(Intake!R19)=0,"",Intake!R19)</x:f>
      </x:c>
      <x:c r="R18" s="15" t="str">
        <x:f>IF(COUNTA(Intake!S19)=0,"",Intake!S19)</x:f>
      </x:c>
      <x:c r="S18" s="15" t="str">
        <x:f>IF(COUNTA(Intake!T19)=0,"",Intake!T19)</x:f>
      </x:c>
      <x:c r="T18" s="15" t="str">
        <x:f>IF(COUNTA(Intake!U19)=0,"",Intake!U19)</x:f>
      </x:c>
      <x:c r="U18" s="15" t="str">
        <x:f>IF(COUNTA(Intake!V19)=0,"",Intake!V19)</x:f>
      </x:c>
      <x:c r="V18" s="15" t="str">
        <x:f>Intake!W19</x:f>
        <x:v>DRAFT</x:v>
      </x:c>
      <x:c r="W18" s="34" t="b">
        <x:v>0</x:v>
      </x:c>
      <x:c r="X18" s="15" t="str"/>
      <x:c r="Y18" s="15" t="str"/>
      <x:c r="Z18" s="15" t="str"/>
      <x:c r="AA18" s="15" t="str"/>
    </x:row>
    <x:row r="19">
      <x:c r="A19" s="15" t="str">
        <x:f>Intake!A20</x:f>
        <x:v>OPEN-ING-020-MAIN-20260930-V01</x:v>
      </x:c>
      <x:c r="B19" s="15" t="str"/>
      <x:c r="C19" s="15" t="str">
        <x:f>Intake!B20</x:f>
        <x:v>INV-OPEN-20261001-V01</x:v>
      </x:c>
      <x:c r="D19" s="35" t="n">
        <x:f>Intake!C20</x:f>
        <x:v>46295</x:v>
      </x:c>
      <x:c r="E19" s="15" t="str">
        <x:f>Intake!E20</x:f>
        <x:v>ING-020</x:v>
      </x:c>
      <x:c r="F19" s="15" t="str">
        <x:f>Intake!D20</x:f>
        <x:v>MAIN</x:v>
      </x:c>
      <x:c r="G19" s="15" t="str">
        <x:f>Intake!G20</x:f>
        <x:v>gr</x:v>
      </x:c>
      <x:c r="H19" s="36" t="str">
        <x:f>IF(COUNTA(Intake!I20)=0,"",Intake!I20)</x:f>
      </x:c>
      <x:c r="I19" s="15" t="str">
        <x:f>IF(COUNTA(Intake!J20)=0,"",Intake!J20)</x:f>
      </x:c>
      <x:c r="J19" s="15" t="str">
        <x:f>IF(COUNTA(Intake!K20)=0,"",Intake!K20)</x:f>
      </x:c>
      <x:c r="K19" s="37" t="str">
        <x:f>IF(COUNTA(Intake!L20)=0,"",Intake!L20)</x:f>
      </x:c>
      <x:c r="L19" s="38" t="str">
        <x:f>IF(COUNTA(Intake!M20)=0,"",Intake!M20)</x:f>
      </x:c>
      <x:c r="M19" s="15" t="str">
        <x:f>IF(COUNTA(Intake!N20)=0,"",Intake!N20)</x:f>
      </x:c>
      <x:c r="N19" s="15" t="str">
        <x:f>IF(COUNTA(Intake!O20)=0,"",Intake!O20)</x:f>
      </x:c>
      <x:c r="O19" s="15" t="str">
        <x:f>IF(COUNTA(Intake!P20)=0,"",Intake!P20)</x:f>
      </x:c>
      <x:c r="P19" s="15" t="str">
        <x:f>IF(COUNTA(Intake!Q20)=0,"",Intake!Q20)</x:f>
      </x:c>
      <x:c r="Q19" s="15" t="str">
        <x:f>IF(COUNTA(Intake!R20)=0,"",Intake!R20)</x:f>
      </x:c>
      <x:c r="R19" s="15" t="str">
        <x:f>IF(COUNTA(Intake!S20)=0,"",Intake!S20)</x:f>
      </x:c>
      <x:c r="S19" s="15" t="str">
        <x:f>IF(COUNTA(Intake!T20)=0,"",Intake!T20)</x:f>
      </x:c>
      <x:c r="T19" s="15" t="str">
        <x:f>IF(COUNTA(Intake!U20)=0,"",Intake!U20)</x:f>
      </x:c>
      <x:c r="U19" s="15" t="str">
        <x:f>IF(COUNTA(Intake!V20)=0,"",Intake!V20)</x:f>
      </x:c>
      <x:c r="V19" s="15" t="str">
        <x:f>Intake!W20</x:f>
        <x:v>DRAFT</x:v>
      </x:c>
      <x:c r="W19" s="34" t="b">
        <x:v>0</x:v>
      </x:c>
      <x:c r="X19" s="15" t="str"/>
      <x:c r="Y19" s="15" t="str"/>
      <x:c r="Z19" s="15" t="str"/>
      <x:c r="AA19" s="15" t="str"/>
    </x:row>
    <x:row r="20">
      <x:c r="A20" s="15" t="str">
        <x:f>Intake!A21</x:f>
        <x:v>OPEN-ING-021-MAIN-20260930-V01</x:v>
      </x:c>
      <x:c r="B20" s="15" t="str"/>
      <x:c r="C20" s="15" t="str">
        <x:f>Intake!B21</x:f>
        <x:v>INV-OPEN-20261001-V01</x:v>
      </x:c>
      <x:c r="D20" s="35" t="n">
        <x:f>Intake!C21</x:f>
        <x:v>46295</x:v>
      </x:c>
      <x:c r="E20" s="15" t="str">
        <x:f>Intake!E21</x:f>
        <x:v>ING-021</x:v>
      </x:c>
      <x:c r="F20" s="15" t="str">
        <x:f>Intake!D21</x:f>
        <x:v>MAIN</x:v>
      </x:c>
      <x:c r="G20" s="15" t="str">
        <x:f>Intake!G21</x:f>
        <x:v>gr</x:v>
      </x:c>
      <x:c r="H20" s="36" t="str">
        <x:f>IF(COUNTA(Intake!I21)=0,"",Intake!I21)</x:f>
      </x:c>
      <x:c r="I20" s="15" t="str">
        <x:f>IF(COUNTA(Intake!J21)=0,"",Intake!J21)</x:f>
      </x:c>
      <x:c r="J20" s="15" t="str">
        <x:f>IF(COUNTA(Intake!K21)=0,"",Intake!K21)</x:f>
      </x:c>
      <x:c r="K20" s="37" t="str">
        <x:f>IF(COUNTA(Intake!L21)=0,"",Intake!L21)</x:f>
      </x:c>
      <x:c r="L20" s="38" t="str">
        <x:f>IF(COUNTA(Intake!M21)=0,"",Intake!M21)</x:f>
      </x:c>
      <x:c r="M20" s="15" t="str">
        <x:f>IF(COUNTA(Intake!N21)=0,"",Intake!N21)</x:f>
      </x:c>
      <x:c r="N20" s="15" t="str">
        <x:f>IF(COUNTA(Intake!O21)=0,"",Intake!O21)</x:f>
      </x:c>
      <x:c r="O20" s="15" t="str">
        <x:f>IF(COUNTA(Intake!P21)=0,"",Intake!P21)</x:f>
      </x:c>
      <x:c r="P20" s="15" t="str">
        <x:f>IF(COUNTA(Intake!Q21)=0,"",Intake!Q21)</x:f>
      </x:c>
      <x:c r="Q20" s="15" t="str">
        <x:f>IF(COUNTA(Intake!R21)=0,"",Intake!R21)</x:f>
      </x:c>
      <x:c r="R20" s="15" t="str">
        <x:f>IF(COUNTA(Intake!S21)=0,"",Intake!S21)</x:f>
      </x:c>
      <x:c r="S20" s="15" t="str">
        <x:f>IF(COUNTA(Intake!T21)=0,"",Intake!T21)</x:f>
      </x:c>
      <x:c r="T20" s="15" t="str">
        <x:f>IF(COUNTA(Intake!U21)=0,"",Intake!U21)</x:f>
      </x:c>
      <x:c r="U20" s="15" t="str">
        <x:f>IF(COUNTA(Intake!V21)=0,"",Intake!V21)</x:f>
      </x:c>
      <x:c r="V20" s="15" t="str">
        <x:f>Intake!W21</x:f>
        <x:v>DRAFT</x:v>
      </x:c>
      <x:c r="W20" s="34" t="b">
        <x:v>0</x:v>
      </x:c>
      <x:c r="X20" s="15" t="str"/>
      <x:c r="Y20" s="15" t="str"/>
      <x:c r="Z20" s="15" t="str"/>
      <x:c r="AA20" s="15" t="str"/>
    </x:row>
    <x:row r="21">
      <x:c r="A21" s="15" t="str">
        <x:f>Intake!A22</x:f>
        <x:v>OPEN-ING-031-MAIN-20260930-V01</x:v>
      </x:c>
      <x:c r="B21" s="15" t="str"/>
      <x:c r="C21" s="15" t="str">
        <x:f>Intake!B22</x:f>
        <x:v>INV-OPEN-20261001-V01</x:v>
      </x:c>
      <x:c r="D21" s="35" t="n">
        <x:f>Intake!C22</x:f>
        <x:v>46295</x:v>
      </x:c>
      <x:c r="E21" s="15" t="str">
        <x:f>Intake!E22</x:f>
        <x:v>ING-031</x:v>
      </x:c>
      <x:c r="F21" s="15" t="str">
        <x:f>Intake!D22</x:f>
        <x:v>MAIN</x:v>
      </x:c>
      <x:c r="G21" s="15" t="str">
        <x:f>Intake!G22</x:f>
        <x:v>pcs</x:v>
      </x:c>
      <x:c r="H21" s="36" t="str">
        <x:f>IF(COUNTA(Intake!I22)=0,"",Intake!I22)</x:f>
      </x:c>
      <x:c r="I21" s="15" t="str">
        <x:f>IF(COUNTA(Intake!J22)=0,"",Intake!J22)</x:f>
      </x:c>
      <x:c r="J21" s="15" t="str">
        <x:f>IF(COUNTA(Intake!K22)=0,"",Intake!K22)</x:f>
      </x:c>
      <x:c r="K21" s="37" t="str">
        <x:f>IF(COUNTA(Intake!L22)=0,"",Intake!L22)</x:f>
      </x:c>
      <x:c r="L21" s="38" t="str">
        <x:f>IF(COUNTA(Intake!M22)=0,"",Intake!M22)</x:f>
      </x:c>
      <x:c r="M21" s="15" t="str">
        <x:f>IF(COUNTA(Intake!N22)=0,"",Intake!N22)</x:f>
      </x:c>
      <x:c r="N21" s="15" t="str">
        <x:f>IF(COUNTA(Intake!O22)=0,"",Intake!O22)</x:f>
      </x:c>
      <x:c r="O21" s="15" t="str">
        <x:f>IF(COUNTA(Intake!P22)=0,"",Intake!P22)</x:f>
      </x:c>
      <x:c r="P21" s="15" t="str">
        <x:f>IF(COUNTA(Intake!Q22)=0,"",Intake!Q22)</x:f>
      </x:c>
      <x:c r="Q21" s="15" t="str">
        <x:f>IF(COUNTA(Intake!R22)=0,"",Intake!R22)</x:f>
      </x:c>
      <x:c r="R21" s="15" t="str">
        <x:f>IF(COUNTA(Intake!S22)=0,"",Intake!S22)</x:f>
      </x:c>
      <x:c r="S21" s="15" t="str">
        <x:f>IF(COUNTA(Intake!T22)=0,"",Intake!T22)</x:f>
      </x:c>
      <x:c r="T21" s="15" t="str">
        <x:f>IF(COUNTA(Intake!U22)=0,"",Intake!U22)</x:f>
      </x:c>
      <x:c r="U21" s="15" t="str">
        <x:f>IF(COUNTA(Intake!V22)=0,"",Intake!V22)</x:f>
      </x:c>
      <x:c r="V21" s="15" t="str">
        <x:f>Intake!W22</x:f>
        <x:v>DRAFT</x:v>
      </x:c>
      <x:c r="W21" s="34" t="b">
        <x:v>0</x:v>
      </x:c>
      <x:c r="X21" s="15" t="str"/>
      <x:c r="Y21" s="15" t="str"/>
      <x:c r="Z21" s="15" t="str"/>
      <x:c r="AA21" s="15" t="str"/>
    </x:row>
    <x:row r="22">
      <x:c r="A22" s="15" t="str">
        <x:f>Intake!A23</x:f>
        <x:v>OPEN-ING-032-MAIN-20260930-V01</x:v>
      </x:c>
      <x:c r="B22" s="15" t="str"/>
      <x:c r="C22" s="15" t="str">
        <x:f>Intake!B23</x:f>
        <x:v>INV-OPEN-20261001-V01</x:v>
      </x:c>
      <x:c r="D22" s="35" t="n">
        <x:f>Intake!C23</x:f>
        <x:v>46295</x:v>
      </x:c>
      <x:c r="E22" s="15" t="str">
        <x:f>Intake!E23</x:f>
        <x:v>ING-032</x:v>
      </x:c>
      <x:c r="F22" s="15" t="str">
        <x:f>Intake!D23</x:f>
        <x:v>MAIN</x:v>
      </x:c>
      <x:c r="G22" s="15" t="str">
        <x:f>Intake!G23</x:f>
        <x:v>pcs</x:v>
      </x:c>
      <x:c r="H22" s="36" t="str">
        <x:f>IF(COUNTA(Intake!I23)=0,"",Intake!I23)</x:f>
      </x:c>
      <x:c r="I22" s="15" t="str">
        <x:f>IF(COUNTA(Intake!J23)=0,"",Intake!J23)</x:f>
      </x:c>
      <x:c r="J22" s="15" t="str">
        <x:f>IF(COUNTA(Intake!K23)=0,"",Intake!K23)</x:f>
      </x:c>
      <x:c r="K22" s="37" t="str">
        <x:f>IF(COUNTA(Intake!L23)=0,"",Intake!L23)</x:f>
      </x:c>
      <x:c r="L22" s="38" t="str">
        <x:f>IF(COUNTA(Intake!M23)=0,"",Intake!M23)</x:f>
      </x:c>
      <x:c r="M22" s="15" t="str">
        <x:f>IF(COUNTA(Intake!N23)=0,"",Intake!N23)</x:f>
      </x:c>
      <x:c r="N22" s="15" t="str">
        <x:f>IF(COUNTA(Intake!O23)=0,"",Intake!O23)</x:f>
      </x:c>
      <x:c r="O22" s="15" t="str">
        <x:f>IF(COUNTA(Intake!P23)=0,"",Intake!P23)</x:f>
      </x:c>
      <x:c r="P22" s="15" t="str">
        <x:f>IF(COUNTA(Intake!Q23)=0,"",Intake!Q23)</x:f>
      </x:c>
      <x:c r="Q22" s="15" t="str">
        <x:f>IF(COUNTA(Intake!R23)=0,"",Intake!R23)</x:f>
      </x:c>
      <x:c r="R22" s="15" t="str">
        <x:f>IF(COUNTA(Intake!S23)=0,"",Intake!S23)</x:f>
      </x:c>
      <x:c r="S22" s="15" t="str">
        <x:f>IF(COUNTA(Intake!T23)=0,"",Intake!T23)</x:f>
      </x:c>
      <x:c r="T22" s="15" t="str">
        <x:f>IF(COUNTA(Intake!U23)=0,"",Intake!U23)</x:f>
      </x:c>
      <x:c r="U22" s="15" t="str">
        <x:f>IF(COUNTA(Intake!V23)=0,"",Intake!V23)</x:f>
      </x:c>
      <x:c r="V22" s="15" t="str">
        <x:f>Intake!W23</x:f>
        <x:v>DRAFT</x:v>
      </x:c>
      <x:c r="W22" s="34" t="b">
        <x:v>0</x:v>
      </x:c>
      <x:c r="X22" s="15" t="str"/>
      <x:c r="Y22" s="15" t="str"/>
      <x:c r="Z22" s="15" t="str"/>
      <x:c r="AA22" s="15" t="str"/>
    </x:row>
    <x:row r="23">
      <x:c r="A23" s="15" t="str">
        <x:f>Intake!A24</x:f>
        <x:v>OPEN-ING-033-MAIN-20260930-V01</x:v>
      </x:c>
      <x:c r="B23" s="15" t="str"/>
      <x:c r="C23" s="15" t="str">
        <x:f>Intake!B24</x:f>
        <x:v>INV-OPEN-20261001-V01</x:v>
      </x:c>
      <x:c r="D23" s="35" t="n">
        <x:f>Intake!C24</x:f>
        <x:v>46295</x:v>
      </x:c>
      <x:c r="E23" s="15" t="str">
        <x:f>Intake!E24</x:f>
        <x:v>ING-033</x:v>
      </x:c>
      <x:c r="F23" s="15" t="str">
        <x:f>Intake!D24</x:f>
        <x:v>MAIN</x:v>
      </x:c>
      <x:c r="G23" s="15" t="str">
        <x:f>Intake!G24</x:f>
        <x:v>pcs</x:v>
      </x:c>
      <x:c r="H23" s="36" t="str">
        <x:f>IF(COUNTA(Intake!I24)=0,"",Intake!I24)</x:f>
      </x:c>
      <x:c r="I23" s="15" t="str">
        <x:f>IF(COUNTA(Intake!J24)=0,"",Intake!J24)</x:f>
      </x:c>
      <x:c r="J23" s="15" t="str">
        <x:f>IF(COUNTA(Intake!K24)=0,"",Intake!K24)</x:f>
      </x:c>
      <x:c r="K23" s="37" t="str">
        <x:f>IF(COUNTA(Intake!L24)=0,"",Intake!L24)</x:f>
      </x:c>
      <x:c r="L23" s="38" t="str">
        <x:f>IF(COUNTA(Intake!M24)=0,"",Intake!M24)</x:f>
      </x:c>
      <x:c r="M23" s="15" t="str">
        <x:f>IF(COUNTA(Intake!N24)=0,"",Intake!N24)</x:f>
      </x:c>
      <x:c r="N23" s="15" t="str">
        <x:f>IF(COUNTA(Intake!O24)=0,"",Intake!O24)</x:f>
      </x:c>
      <x:c r="O23" s="15" t="str">
        <x:f>IF(COUNTA(Intake!P24)=0,"",Intake!P24)</x:f>
      </x:c>
      <x:c r="P23" s="15" t="str">
        <x:f>IF(COUNTA(Intake!Q24)=0,"",Intake!Q24)</x:f>
      </x:c>
      <x:c r="Q23" s="15" t="str">
        <x:f>IF(COUNTA(Intake!R24)=0,"",Intake!R24)</x:f>
      </x:c>
      <x:c r="R23" s="15" t="str">
        <x:f>IF(COUNTA(Intake!S24)=0,"",Intake!S24)</x:f>
      </x:c>
      <x:c r="S23" s="15" t="str">
        <x:f>IF(COUNTA(Intake!T24)=0,"",Intake!T24)</x:f>
      </x:c>
      <x:c r="T23" s="15" t="str">
        <x:f>IF(COUNTA(Intake!U24)=0,"",Intake!U24)</x:f>
      </x:c>
      <x:c r="U23" s="15" t="str">
        <x:f>IF(COUNTA(Intake!V24)=0,"",Intake!V24)</x:f>
      </x:c>
      <x:c r="V23" s="15" t="str">
        <x:f>Intake!W24</x:f>
        <x:v>DRAFT</x:v>
      </x:c>
      <x:c r="W23" s="34" t="b">
        <x:v>0</x:v>
      </x:c>
      <x:c r="X23" s="15" t="str"/>
      <x:c r="Y23" s="15" t="str"/>
      <x:c r="Z23" s="15" t="str"/>
      <x:c r="AA23" s="15" t="str"/>
    </x:row>
    <x:row r="24">
      <x:c r="A24" s="15" t="str">
        <x:f>Intake!A25</x:f>
        <x:v>OPEN-ING-034-MAIN-20260930-V01</x:v>
      </x:c>
      <x:c r="B24" s="15" t="str"/>
      <x:c r="C24" s="15" t="str">
        <x:f>Intake!B25</x:f>
        <x:v>INV-OPEN-20261001-V01</x:v>
      </x:c>
      <x:c r="D24" s="35" t="n">
        <x:f>Intake!C25</x:f>
        <x:v>46295</x:v>
      </x:c>
      <x:c r="E24" s="15" t="str">
        <x:f>Intake!E25</x:f>
        <x:v>ING-034</x:v>
      </x:c>
      <x:c r="F24" s="15" t="str">
        <x:f>Intake!D25</x:f>
        <x:v>MAIN</x:v>
      </x:c>
      <x:c r="G24" s="15" t="str">
        <x:f>Intake!G25</x:f>
        <x:v>pcs</x:v>
      </x:c>
      <x:c r="H24" s="36" t="str">
        <x:f>IF(COUNTA(Intake!I25)=0,"",Intake!I25)</x:f>
      </x:c>
      <x:c r="I24" s="15" t="str">
        <x:f>IF(COUNTA(Intake!J25)=0,"",Intake!J25)</x:f>
      </x:c>
      <x:c r="J24" s="15" t="str">
        <x:f>IF(COUNTA(Intake!K25)=0,"",Intake!K25)</x:f>
      </x:c>
      <x:c r="K24" s="37" t="str">
        <x:f>IF(COUNTA(Intake!L25)=0,"",Intake!L25)</x:f>
      </x:c>
      <x:c r="L24" s="38" t="str">
        <x:f>IF(COUNTA(Intake!M25)=0,"",Intake!M25)</x:f>
      </x:c>
      <x:c r="M24" s="15" t="str">
        <x:f>IF(COUNTA(Intake!N25)=0,"",Intake!N25)</x:f>
      </x:c>
      <x:c r="N24" s="15" t="str">
        <x:f>IF(COUNTA(Intake!O25)=0,"",Intake!O25)</x:f>
      </x:c>
      <x:c r="O24" s="15" t="str">
        <x:f>IF(COUNTA(Intake!P25)=0,"",Intake!P25)</x:f>
      </x:c>
      <x:c r="P24" s="15" t="str">
        <x:f>IF(COUNTA(Intake!Q25)=0,"",Intake!Q25)</x:f>
      </x:c>
      <x:c r="Q24" s="15" t="str">
        <x:f>IF(COUNTA(Intake!R25)=0,"",Intake!R25)</x:f>
      </x:c>
      <x:c r="R24" s="15" t="str">
        <x:f>IF(COUNTA(Intake!S25)=0,"",Intake!S25)</x:f>
      </x:c>
      <x:c r="S24" s="15" t="str">
        <x:f>IF(COUNTA(Intake!T25)=0,"",Intake!T25)</x:f>
      </x:c>
      <x:c r="T24" s="15" t="str">
        <x:f>IF(COUNTA(Intake!U25)=0,"",Intake!U25)</x:f>
      </x:c>
      <x:c r="U24" s="15" t="str">
        <x:f>IF(COUNTA(Intake!V25)=0,"",Intake!V25)</x:f>
      </x:c>
      <x:c r="V24" s="15" t="str">
        <x:f>Intake!W25</x:f>
        <x:v>DRAFT</x:v>
      </x:c>
      <x:c r="W24" s="34" t="b">
        <x:v>0</x:v>
      </x:c>
      <x:c r="X24" s="15" t="str"/>
      <x:c r="Y24" s="15" t="str"/>
      <x:c r="Z24" s="15" t="str"/>
      <x:c r="AA24" s="15" t="str"/>
    </x:row>
  </x:sheetData>
  <x:mergeCells>
    <x:mergeCell ref="A1:AA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.440000534057617" hidden="0" customWidth="1"/>
    <x:col min="2" max="2" width="24.440000534057617" hidden="0" customWidth="1"/>
    <x:col min="3" max="3" width="24.440000534057617" hidden="0" customWidth="1"/>
    <x:col min="4" max="4" width="46.66999816894531" hidden="0" customWidth="1"/>
  </x:cols>
  <x:sheetData>
    <x:row r="1">
      <x:c r="A1" s="33" t="str">
        <x:v>Production mapping contract</x:v>
      </x:c>
      <x:c r="B1" s="33"/>
      <x:c r="C1" s="33"/>
      <x:c r="D1" s="33"/>
    </x:row>
    <x:row r="2">
      <x:c r="A2" s="15"/>
      <x:c r="B2" s="15"/>
      <x:c r="C2" s="15"/>
      <x:c r="D2" s="15"/>
    </x:row>
    <x:row r="3">
      <x:c r="A3" s="14" t="str">
        <x:v>InventoryOpenings column</x:v>
      </x:c>
      <x:c r="B3" s="14" t="str">
        <x:v>Field class</x:v>
      </x:c>
      <x:c r="C3" s="14" t="str">
        <x:v>Intake source/default</x:v>
      </x:c>
      <x:c r="D3" s="14" t="str">
        <x:v>Rule</x:v>
      </x:c>
    </x:row>
    <x:row r="4">
      <x:c r="A4" s="15" t="str">
        <x:v>OpeningID</x:v>
      </x:c>
      <x:c r="B4" s="15" t="str">
        <x:v>SYSTEM_DERIVED</x:v>
      </x:c>
      <x:c r="C4" s="15" t="str">
        <x:v>Intake.OpeningID</x:v>
      </x:c>
      <x:c r="D4" s="15" t="str">
        <x:v>Direct, no manual remapping</x:v>
      </x:c>
    </x:row>
    <x:row r="5">
      <x:c r="A5" s="15" t="str">
        <x:v>SupersedesOpeningID</x:v>
      </x:c>
      <x:c r="B5" s="15" t="str">
        <x:v>SYSTEM_DEFAULT</x:v>
      </x:c>
      <x:c r="C5" s="15" t="str">
        <x:v>blank</x:v>
      </x:c>
      <x:c r="D5" s="15" t="str">
        <x:v>Initial opening version</x:v>
      </x:c>
    </x:row>
    <x:row r="6">
      <x:c r="A6" s="15" t="str">
        <x:v>OpeningBatchID</x:v>
      </x:c>
      <x:c r="B6" s="15" t="str">
        <x:v>SYSTEM_DERIVED</x:v>
      </x:c>
      <x:c r="C6" s="15" t="str">
        <x:v>Intake.OpeningBatchID</x:v>
      </x:c>
      <x:c r="D6" s="15" t="str">
        <x:v>Direct, no manual remapping</x:v>
      </x:c>
    </x:row>
    <x:row r="7">
      <x:c r="A7" s="15" t="str">
        <x:v>CutoverDate</x:v>
      </x:c>
      <x:c r="B7" s="15" t="str">
        <x:v>SYSTEM_DERIVED</x:v>
      </x:c>
      <x:c r="C7" s="15" t="str">
        <x:v>Intake.CutoverDate</x:v>
      </x:c>
      <x:c r="D7" s="15" t="str">
        <x:v>Direct, no manual remapping</x:v>
      </x:c>
    </x:row>
    <x:row r="8">
      <x:c r="A8" s="15" t="str">
        <x:v>ItemID</x:v>
      </x:c>
      <x:c r="B8" s="15" t="str">
        <x:v>SYSTEM_DERIVED</x:v>
      </x:c>
      <x:c r="C8" s="15" t="str">
        <x:v>Intake.ItemID</x:v>
      </x:c>
      <x:c r="D8" s="15" t="str">
        <x:v>Direct, no manual remapping</x:v>
      </x:c>
    </x:row>
    <x:row r="9">
      <x:c r="A9" s="15" t="str">
        <x:v>Location</x:v>
      </x:c>
      <x:c r="B9" s="15" t="str">
        <x:v>SYSTEM_DERIVED</x:v>
      </x:c>
      <x:c r="C9" s="15" t="str">
        <x:v>Intake.Location</x:v>
      </x:c>
      <x:c r="D9" s="15" t="str">
        <x:v>Direct, no manual remapping</x:v>
      </x:c>
    </x:row>
    <x:row r="10">
      <x:c r="A10" s="15" t="str">
        <x:v>BaseUOM</x:v>
      </x:c>
      <x:c r="B10" s="15" t="str">
        <x:v>SYSTEM_DERIVED</x:v>
      </x:c>
      <x:c r="C10" s="15" t="str">
        <x:v>Intake.BaseUOM</x:v>
      </x:c>
      <x:c r="D10" s="15" t="str">
        <x:v>Direct, no manual remapping</x:v>
      </x:c>
    </x:row>
    <x:row r="11">
      <x:c r="A11" s="15" t="str">
        <x:v>ObservedQty</x:v>
      </x:c>
      <x:c r="B11" s="15" t="str">
        <x:v>OPERATOR_INPUT</x:v>
      </x:c>
      <x:c r="C11" s="15" t="str">
        <x:v>Intake.ObservedQty</x:v>
      </x:c>
      <x:c r="D11" s="15" t="str">
        <x:v>Direct, no manual remapping</x:v>
      </x:c>
    </x:row>
    <x:row r="12">
      <x:c r="A12" s="15" t="str">
        <x:v>ObservationTimestamp</x:v>
      </x:c>
      <x:c r="B12" s="15" t="str">
        <x:v>OPERATOR_INPUT</x:v>
      </x:c>
      <x:c r="C12" s="15" t="str">
        <x:v>Intake.ObservationTimestamp</x:v>
      </x:c>
      <x:c r="D12" s="15" t="str">
        <x:v>Direct, no manual remapping</x:v>
      </x:c>
    </x:row>
    <x:row r="13">
      <x:c r="A13" s="15" t="str">
        <x:v>QuantityEvidenceRef</x:v>
      </x:c>
      <x:c r="B13" s="15" t="str">
        <x:v>OPERATOR_INPUT</x:v>
      </x:c>
      <x:c r="C13" s="15" t="str">
        <x:v>Intake.QuantityEvidenceRef</x:v>
      </x:c>
      <x:c r="D13" s="15" t="str">
        <x:v>Direct, no manual remapping</x:v>
      </x:c>
    </x:row>
    <x:row r="14">
      <x:c r="A14" s="15" t="str">
        <x:v>UnitCost</x:v>
      </x:c>
      <x:c r="B14" s="15" t="str">
        <x:v>OPERATOR_INPUT</x:v>
      </x:c>
      <x:c r="C14" s="15" t="str">
        <x:v>Intake.UnitCost</x:v>
      </x:c>
      <x:c r="D14" s="15" t="str">
        <x:v>Direct, no manual remapping</x:v>
      </x:c>
    </x:row>
    <x:row r="15">
      <x:c r="A15" s="15" t="str">
        <x:v>TotalValue</x:v>
      </x:c>
      <x:c r="B15" s="15" t="str">
        <x:v>SYSTEM_DERIVED</x:v>
      </x:c>
      <x:c r="C15" s="15" t="str">
        <x:v>Intake.TotalValue</x:v>
      </x:c>
      <x:c r="D15" s="15" t="str">
        <x:v>Direct, no manual remapping</x:v>
      </x:c>
    </x:row>
    <x:row r="16">
      <x:c r="A16" s="15" t="str">
        <x:v>ValuationBasis</x:v>
      </x:c>
      <x:c r="B16" s="15" t="str">
        <x:v>OPERATOR_INPUT</x:v>
      </x:c>
      <x:c r="C16" s="15" t="str">
        <x:v>Intake.ValuationBasis</x:v>
      </x:c>
      <x:c r="D16" s="15" t="str">
        <x:v>Direct, no manual remapping</x:v>
      </x:c>
    </x:row>
    <x:row r="17">
      <x:c r="A17" s="15" t="str">
        <x:v>ValuationEvidenceRef</x:v>
      </x:c>
      <x:c r="B17" s="15" t="str">
        <x:v>OPERATOR_INPUT</x:v>
      </x:c>
      <x:c r="C17" s="15" t="str">
        <x:v>Intake.ValuationEvidenceRef</x:v>
      </x:c>
      <x:c r="D17" s="15" t="str">
        <x:v>Direct, no manual remapping</x:v>
      </x:c>
    </x:row>
    <x:row r="18">
      <x:c r="A18" s="15" t="str">
        <x:v>AcquisitionEvidenceRef</x:v>
      </x:c>
      <x:c r="B18" s="15" t="str">
        <x:v>OPERATOR_INPUT</x:v>
      </x:c>
      <x:c r="C18" s="15" t="str">
        <x:v>Intake.AcquisitionEvidenceRef</x:v>
      </x:c>
      <x:c r="D18" s="15" t="str">
        <x:v>Direct, no manual remapping</x:v>
      </x:c>
    </x:row>
    <x:row r="19">
      <x:c r="A19" s="15" t="str">
        <x:v>AccountingSourceRef</x:v>
      </x:c>
      <x:c r="B19" s="15" t="str">
        <x:v>OPERATOR_INPUT</x:v>
      </x:c>
      <x:c r="C19" s="15" t="str">
        <x:v>Intake.AccountingSourceRef</x:v>
      </x:c>
      <x:c r="D19" s="15" t="str">
        <x:v>Direct, no manual remapping</x:v>
      </x:c>
    </x:row>
    <x:row r="20">
      <x:c r="A20" s="15" t="str">
        <x:v>EconomicOrigin</x:v>
      </x:c>
      <x:c r="B20" s="15" t="str">
        <x:v>OPERATOR_INPUT</x:v>
      </x:c>
      <x:c r="C20" s="15" t="str">
        <x:v>Intake.EconomicOrigin</x:v>
      </x:c>
      <x:c r="D20" s="15" t="str">
        <x:v>Direct, no manual remapping</x:v>
      </x:c>
    </x:row>
    <x:row r="21">
      <x:c r="A21" s="15" t="str">
        <x:v>PreparedBy</x:v>
      </x:c>
      <x:c r="B21" s="15" t="str">
        <x:v>OPERATOR_INPUT</x:v>
      </x:c>
      <x:c r="C21" s="15" t="str">
        <x:v>Intake.PreparedBy</x:v>
      </x:c>
      <x:c r="D21" s="15" t="str">
        <x:v>Direct, no manual remapping</x:v>
      </x:c>
    </x:row>
    <x:row r="22">
      <x:c r="A22" s="15" t="str">
        <x:v>PreparedAt</x:v>
      </x:c>
      <x:c r="B22" s="15" t="str">
        <x:v>OPERATOR_INPUT</x:v>
      </x:c>
      <x:c r="C22" s="15" t="str">
        <x:v>Intake.PreparedAt</x:v>
      </x:c>
      <x:c r="D22" s="15" t="str">
        <x:v>Direct, no manual remapping</x:v>
      </x:c>
    </x:row>
    <x:row r="23">
      <x:c r="A23" s="15" t="str">
        <x:v>ReviewedBy</x:v>
      </x:c>
      <x:c r="B23" s="15" t="str">
        <x:v>OPERATOR_INPUT</x:v>
      </x:c>
      <x:c r="C23" s="15" t="str">
        <x:v>Intake.ReviewedBy</x:v>
      </x:c>
      <x:c r="D23" s="15" t="str">
        <x:v>Direct, no manual remapping</x:v>
      </x:c>
    </x:row>
    <x:row r="24">
      <x:c r="A24" s="15" t="str">
        <x:v>ReviewedAt</x:v>
      </x:c>
      <x:c r="B24" s="15" t="str">
        <x:v>OPERATOR_INPUT</x:v>
      </x:c>
      <x:c r="C24" s="15" t="str">
        <x:v>Intake.ReviewedAt</x:v>
      </x:c>
      <x:c r="D24" s="15" t="str">
        <x:v>Direct, no manual remapping</x:v>
      </x:c>
    </x:row>
    <x:row r="25">
      <x:c r="A25" s="15" t="str">
        <x:v>ApprovalStatus</x:v>
      </x:c>
      <x:c r="B25" s="15" t="str">
        <x:v>SYSTEM_DERIVED</x:v>
      </x:c>
      <x:c r="C25" s="15" t="str">
        <x:v>Intake.ApprovalStatus</x:v>
      </x:c>
      <x:c r="D25" s="15" t="str">
        <x:v>Direct, no manual remapping</x:v>
      </x:c>
    </x:row>
    <x:row r="26">
      <x:c r="A26" s="15" t="str">
        <x:v>IsActive</x:v>
      </x:c>
      <x:c r="B26" s="15" t="str">
        <x:v>SYSTEM_DEFAULT</x:v>
      </x:c>
      <x:c r="C26" s="15" t="str">
        <x:v>FALSE</x:v>
      </x:c>
      <x:c r="D26" s="15" t="str">
        <x:v>Staging/reference only; does not authorize posting</x:v>
      </x:c>
    </x:row>
    <x:row r="27">
      <x:c r="A27" s="15" t="str">
        <x:v>CreatedAt</x:v>
      </x:c>
      <x:c r="B27" s="15" t="str">
        <x:v>LATER_SYSTEM_METADATA</x:v>
      </x:c>
      <x:c r="C27" s="15" t="str">
        <x:v>blank</x:v>
      </x:c>
      <x:c r="D27" s="15" t="str">
        <x:v>Assigned only by a separately authorized production process</x:v>
      </x:c>
    </x:row>
    <x:row r="28">
      <x:c r="A28" s="15" t="str">
        <x:v>CreatedBy</x:v>
      </x:c>
      <x:c r="B28" s="15" t="str">
        <x:v>LATER_SYSTEM_METADATA</x:v>
      </x:c>
      <x:c r="C28" s="15" t="str">
        <x:v>blank</x:v>
      </x:c>
      <x:c r="D28" s="15" t="str">
        <x:v>Assigned only by a separately authorized production process</x:v>
      </x:c>
    </x:row>
    <x:row r="29">
      <x:c r="A29" s="15" t="str">
        <x:v>UpdatedAt</x:v>
      </x:c>
      <x:c r="B29" s="15" t="str">
        <x:v>LATER_SYSTEM_METADATA</x:v>
      </x:c>
      <x:c r="C29" s="15" t="str">
        <x:v>blank</x:v>
      </x:c>
      <x:c r="D29" s="15" t="str">
        <x:v>Assigned only by a separately authorized production process</x:v>
      </x:c>
    </x:row>
    <x:row r="30">
      <x:c r="A30" s="15" t="str">
        <x:v>UpdatedBy</x:v>
      </x:c>
      <x:c r="B30" s="15" t="str">
        <x:v>LATER_SYSTEM_METADATA</x:v>
      </x:c>
      <x:c r="C30" s="15" t="str">
        <x:v>blank</x:v>
      </x:c>
      <x:c r="D30" s="15" t="str">
        <x:v>Assigned only by a separately authorized production process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6.110000610351562" hidden="0" customWidth="1"/>
    <x:col min="5" max="5" width="16.110000610351562" hidden="0" customWidth="1"/>
    <x:col min="6" max="6" width="48.88999938964844" hidden="0" customWidth="1"/>
    <x:col min="7" max="7" width="16.110000610351562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46.66999816894531" hidden="0" customWidth="1"/>
  </x:cols>
  <x:sheetData>
    <x:row r="1">
      <x:c r="A1" s="33" t="str">
        <x:v>Read-only production authority snapshot — 2026-09-05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36" customHeight="1">
      <x:c r="A3" s="14" t="str">
        <x:v>ItemID</x:v>
      </x:c>
      <x:c r="B3" s="14" t="str">
        <x:v>ItemName</x:v>
      </x:c>
      <x:c r="C3" s="14" t="str">
        <x:v>BaseUOM</x:v>
      </x:c>
      <x:c r="D3" s="14" t="str">
        <x:v>ConversionID</x:v>
      </x:c>
      <x:c r="E3" s="14" t="str">
        <x:v>FromUOM</x:v>
      </x:c>
      <x:c r="F3" s="14" t="str">
        <x:v>PackageIdentity</x:v>
      </x:c>
      <x:c r="G3" s="14" t="str">
        <x:v>ToUOM</x:v>
      </x:c>
      <x:c r="H3" s="14" t="str">
        <x:v>Numerator</x:v>
      </x:c>
      <x:c r="I3" s="14" t="str">
        <x:v>Denominator</x:v>
      </x:c>
      <x:c r="J3" s="14" t="str">
        <x:v>EffectiveFrom</x:v>
      </x:c>
      <x:c r="K3" s="14" t="str">
        <x:v>ApprovalStatus</x:v>
      </x:c>
      <x:c r="L3" s="14" t="str">
        <x:v>IsActive</x:v>
      </x:c>
      <x:c r="M3" s="14" t="str">
        <x:v>Readiness</x:v>
      </x:c>
      <x:c r="N3" s="14" t="str">
        <x:v>EvidenceRef</x:v>
      </x:c>
    </x:row>
    <x:row r="4" ht="49.5" customHeight="1">
      <x:c r="A4" s="15" t="str">
        <x:v>ING-004</x:v>
      </x:c>
      <x:c r="B4" s="15" t="str">
        <x:v>Bean Ar 100%</x:v>
      </x:c>
      <x:c r="C4" s="15" t="str">
        <x:v>gr</x:v>
      </x:c>
      <x:c r="D4" s="15" t="str">
        <x:v>CONV-ATT-ING-004-V01</x:v>
      </x:c>
      <x:c r="E4" s="15" t="str">
        <x:v>bag</x:v>
      </x:c>
      <x:c r="F4" s="15" t="str">
        <x:v>ING-004|INTERNAL-SHOPEE-CHANNEL|Bean Ar 100%|NO-SKU|plastic bag 1 kg|V01</x:v>
      </x:c>
      <x:c r="G4" s="15" t="str">
        <x:v>gr</x:v>
      </x:c>
      <x:c r="H4" s="15" t="n">
        <x:v>1000</x:v>
      </x:c>
      <x:c r="I4" s="15" t="n">
        <x:v>1</x:v>
      </x:c>
      <x:c r="J4" s="35" t="str">
        <x:v>2026-10-01</x:v>
      </x:c>
      <x:c r="K4" s="15" t="str">
        <x:v>SINGLE_OPERATOR_APPROVED</x:v>
      </x:c>
      <x:c r="L4" s="34" t="b">
        <x:v>1</x:v>
      </x:c>
      <x:c r="M4" s="15" t="str">
        <x:v>SINGLE_OPERATOR_VERIFIED</x:v>
      </x:c>
      <x:c r="N4" s="15" t="str">
        <x:v>GDRIVE:1Ap8E3MszGhPq7_FZOPIYRmGKjSWskW5G:V01:SHA256:bb32a968439a6c9a9c2e5415c286fb60484b8cfd13888a7d3329be9dede23658</x:v>
      </x:c>
    </x:row>
    <x:row r="5" ht="49.5" customHeight="1">
      <x:c r="A5" s="15" t="str">
        <x:v>ING-005</x:v>
      </x:c>
      <x:c r="B5" s="15" t="str">
        <x:v>Bean Ar Lintong</x:v>
      </x:c>
      <x:c r="C5" s="15" t="str">
        <x:v>gr</x:v>
      </x:c>
      <x:c r="D5" s="15" t="str">
        <x:v>CONV-ATT-ING-005-V01</x:v>
      </x:c>
      <x:c r="E5" s="15" t="str">
        <x:v>bag</x:v>
      </x:c>
      <x:c r="F5" s="15" t="str">
        <x:v>ING-005|INTERNAL-SHOPEE-CHANNEL|Bean Ar Lintong|NO-SKU|plastic bag 500 gr|V01</x:v>
      </x:c>
      <x:c r="G5" s="15" t="str">
        <x:v>gr</x:v>
      </x:c>
      <x:c r="H5" s="15" t="n">
        <x:v>500</x:v>
      </x:c>
      <x:c r="I5" s="15" t="n">
        <x:v>1</x:v>
      </x:c>
      <x:c r="J5" s="35" t="str">
        <x:v>2026-10-01</x:v>
      </x:c>
      <x:c r="K5" s="15" t="str">
        <x:v>SINGLE_OPERATOR_APPROVED</x:v>
      </x:c>
      <x:c r="L5" s="34" t="b">
        <x:v>1</x:v>
      </x:c>
      <x:c r="M5" s="15" t="str">
        <x:v>SINGLE_OPERATOR_VERIFIED</x:v>
      </x:c>
      <x:c r="N5" s="15" t="str">
        <x:v>GDRIVE:1COJ6VHBTtwXyxHMaUEiltTfpjFIwsmiS:V01:SHA256:5be3e74aea2183747b5c2dbdf7115fbe6b7677feb2cd61523882c4d5338a97d6</x:v>
      </x:c>
    </x:row>
    <x:row r="6" ht="49.5" customHeight="1">
      <x:c r="A6" s="15" t="str">
        <x:v>ING-006</x:v>
      </x:c>
      <x:c r="B6" s="15" t="str">
        <x:v>Bean Robusta</x:v>
      </x:c>
      <x:c r="C6" s="15" t="str">
        <x:v>gr</x:v>
      </x:c>
      <x:c r="D6" s="15" t="str">
        <x:v>CONV-ATT-ING-006-V01</x:v>
      </x:c>
      <x:c r="E6" s="15" t="str">
        <x:v>bag</x:v>
      </x:c>
      <x:c r="F6" s="15" t="str">
        <x:v>ING-006|INTERNAL-SHOPEE-CHANNEL|Bean Robusta|NO-SKU|plastic bag 1000 gr|V01</x:v>
      </x:c>
      <x:c r="G6" s="15" t="str">
        <x:v>gr</x:v>
      </x:c>
      <x:c r="H6" s="15" t="n">
        <x:v>1000</x:v>
      </x:c>
      <x:c r="I6" s="15" t="n">
        <x:v>1</x:v>
      </x:c>
      <x:c r="J6" s="35" t="str">
        <x:v>2026-10-01</x:v>
      </x:c>
      <x:c r="K6" s="15" t="str">
        <x:v>SINGLE_OPERATOR_APPROVED</x:v>
      </x:c>
      <x:c r="L6" s="34" t="b">
        <x:v>1</x:v>
      </x:c>
      <x:c r="M6" s="15" t="str">
        <x:v>SINGLE_OPERATOR_VERIFIED</x:v>
      </x:c>
      <x:c r="N6" s="15" t="str">
        <x:v>GDRIVE:1DABFPD6JvvgKlX2q8h79no5NHShLUMX8:V01:SHA256:195dadbb8c8af5954d49f303c8140ff3fd2d85c30e7919135922976a068c9bdd</x:v>
      </x:c>
    </x:row>
    <x:row r="7" ht="49.5" customHeight="1">
      <x:c r="A7" s="15" t="str">
        <x:v>ING-007</x:v>
      </x:c>
      <x:c r="B7" s="15" t="str">
        <x:v>Kopi Badau</x:v>
      </x:c>
      <x:c r="C7" s="15" t="str">
        <x:v>gr</x:v>
      </x:c>
      <x:c r="D7" s="15" t="str">
        <x:v>CONV-ATT-ING-007-V01</x:v>
      </x:c>
      <x:c r="E7" s="15" t="str">
        <x:v>bag</x:v>
      </x:c>
      <x:c r="F7" s="15" t="str">
        <x:v>ING-007|INTERNAL-KELONTONG|Kopi Badau|NO-SKU|plastic bag 420 gr|V01</x:v>
      </x:c>
      <x:c r="G7" s="15" t="str">
        <x:v>gr</x:v>
      </x:c>
      <x:c r="H7" s="15" t="n">
        <x:v>420</x:v>
      </x:c>
      <x:c r="I7" s="15" t="n">
        <x:v>1</x:v>
      </x:c>
      <x:c r="J7" s="35" t="str">
        <x:v>2026-10-01</x:v>
      </x:c>
      <x:c r="K7" s="15" t="str">
        <x:v>SINGLE_OPERATOR_APPROVED</x:v>
      </x:c>
      <x:c r="L7" s="34" t="b">
        <x:v>1</x:v>
      </x:c>
      <x:c r="M7" s="15" t="str">
        <x:v>SINGLE_OPERATOR_VERIFIED</x:v>
      </x:c>
      <x:c r="N7" s="15" t="str">
        <x:v>GDRIVE:1cijJJR9yhc0bjbepusXXP8_y3pvzO92z:V01:SHA256:944788e2b3da4f27fcce51c7d856ae6d45bf18ac5b6bd805cb1c06cfa6c288f6</x:v>
      </x:c>
    </x:row>
    <x:row r="8" ht="49.5" customHeight="1">
      <x:c r="A8" s="15" t="str">
        <x:v>ING-008</x:v>
      </x:c>
      <x:c r="B8" s="15" t="str">
        <x:v>Kopi Kingkong</x:v>
      </x:c>
      <x:c r="C8" s="15" t="str">
        <x:v>gr</x:v>
      </x:c>
      <x:c r="D8" s="15" t="str">
        <x:v>CONV-ATT-ING-008-V01</x:v>
      </x:c>
      <x:c r="E8" s="15" t="str">
        <x:v>bag</x:v>
      </x:c>
      <x:c r="F8" s="15" t="str">
        <x:v>ING-008|INTERNAL-KELONTONG|Kopi Kingkong|NO-SKU|plastic bag 400 gr|V01</x:v>
      </x:c>
      <x:c r="G8" s="15" t="str">
        <x:v>gr</x:v>
      </x:c>
      <x:c r="H8" s="15" t="n">
        <x:v>400</x:v>
      </x:c>
      <x:c r="I8" s="15" t="n">
        <x:v>1</x:v>
      </x:c>
      <x:c r="J8" s="35" t="str">
        <x:v>2026-10-01</x:v>
      </x:c>
      <x:c r="K8" s="15" t="str">
        <x:v>SINGLE_OPERATOR_APPROVED</x:v>
      </x:c>
      <x:c r="L8" s="34" t="b">
        <x:v>1</x:v>
      </x:c>
      <x:c r="M8" s="15" t="str">
        <x:v>SINGLE_OPERATOR_VERIFIED</x:v>
      </x:c>
      <x:c r="N8" s="15" t="str">
        <x:v>GDRIVE:1OdUGRnM1ej7BxperQ6ll-SC9MlDhHbK8:V01:SHA256:d1a4ff37fb6612c91d81c8de75e766de32d53a9b0311c27a1eeaa488a27d4a72</x:v>
      </x:c>
    </x:row>
    <x:row r="9" ht="49.5" customHeight="1">
      <x:c r="A9" s="15" t="str">
        <x:v>ING-009</x:v>
      </x:c>
      <x:c r="B9" s="15" t="str">
        <x:v>UHT</x:v>
      </x:c>
      <x:c r="C9" s="15" t="str">
        <x:v>ml</x:v>
      </x:c>
      <x:c r="D9" s="15" t="str">
        <x:v>CONV-ATT-ING-009-V01</x:v>
      </x:c>
      <x:c r="E9" s="15" t="str">
        <x:v>carton</x:v>
      </x:c>
      <x:c r="F9" s="15" t="str">
        <x:v>ING-009|INTERNAL-KELONTONG|UHT|NO-SKU|carton 12 x 1 L boxes|V01</x:v>
      </x:c>
      <x:c r="G9" s="15" t="str">
        <x:v>ml</x:v>
      </x:c>
      <x:c r="H9" s="15" t="n">
        <x:v>12000</x:v>
      </x:c>
      <x:c r="I9" s="15" t="n">
        <x:v>1</x:v>
      </x:c>
      <x:c r="J9" s="35" t="str">
        <x:v>2026-10-01</x:v>
      </x:c>
      <x:c r="K9" s="15" t="str">
        <x:v>SINGLE_OPERATOR_APPROVED</x:v>
      </x:c>
      <x:c r="L9" s="34" t="b">
        <x:v>1</x:v>
      </x:c>
      <x:c r="M9" s="15" t="str">
        <x:v>SINGLE_OPERATOR_VERIFIED</x:v>
      </x:c>
      <x:c r="N9" s="15" t="str">
        <x:v>GDRIVE:1Z68YNwu24vgB-LpPOw0OE2gUeXrG10Lu:V01:SHA256:3150299ba9dd222b18627c98f2bb0cfebcb5853b324963962a9b79629c230952</x:v>
      </x:c>
    </x:row>
    <x:row r="10" ht="49.5" customHeight="1">
      <x:c r="A10" s="15" t="str">
        <x:v>ING-010</x:v>
      </x:c>
      <x:c r="B10" s="15" t="str">
        <x:v>SKM</x:v>
      </x:c>
      <x:c r="C10" s="15" t="str">
        <x:v>gr</x:v>
      </x:c>
      <x:c r="D10" s="15" t="str">
        <x:v>CONV-ATT-ING-010-V01</x:v>
      </x:c>
      <x:c r="E10" s="15" t="str">
        <x:v>carton</x:v>
      </x:c>
      <x:c r="F10" s="15" t="str">
        <x:v>ING-010|INTERNAL-KELONTONG|SKM|NO-SKU|carton 24 x 490 gr cans|V01</x:v>
      </x:c>
      <x:c r="G10" s="15" t="str">
        <x:v>gr</x:v>
      </x:c>
      <x:c r="H10" s="15" t="n">
        <x:v>11760</x:v>
      </x:c>
      <x:c r="I10" s="15" t="n">
        <x:v>1</x:v>
      </x:c>
      <x:c r="J10" s="35" t="str">
        <x:v>2026-10-01</x:v>
      </x:c>
      <x:c r="K10" s="15" t="str">
        <x:v>SINGLE_OPERATOR_APPROVED</x:v>
      </x:c>
      <x:c r="L10" s="34" t="b">
        <x:v>1</x:v>
      </x:c>
      <x:c r="M10" s="15" t="str">
        <x:v>SINGLE_OPERATOR_VERIFIED</x:v>
      </x:c>
      <x:c r="N10" s="15" t="str">
        <x:v>GDRIVE:1I72DYM0cM-A1KaPwfm08os22hzxcS04o:V01:SHA256:e0cb1b8e154aa1356f5cb2d48b2b00025461782425bd2908981e88799a7ae5cf</x:v>
      </x:c>
    </x:row>
    <x:row r="11" ht="49.5" customHeight="1">
      <x:c r="A11" s="15" t="str">
        <x:v>ING-011</x:v>
      </x:c>
      <x:c r="B11" s="15" t="str">
        <x:v>Air</x:v>
      </x:c>
      <x:c r="C11" s="15" t="str">
        <x:v>ml</x:v>
      </x:c>
      <x:c r="D11" s="15" t="str">
        <x:v>CONV-ATT-ING-011-V01</x:v>
      </x:c>
      <x:c r="E11" s="15" t="str">
        <x:v>gallon</x:v>
      </x:c>
      <x:c r="F11" s="15" t="str">
        <x:v>ING-011|INTERNAL-DEPOT|Air|NO-SKU|19 L gallon|V01</x:v>
      </x:c>
      <x:c r="G11" s="15" t="str">
        <x:v>ml</x:v>
      </x:c>
      <x:c r="H11" s="15" t="n">
        <x:v>19000</x:v>
      </x:c>
      <x:c r="I11" s="15" t="n">
        <x:v>1</x:v>
      </x:c>
      <x:c r="J11" s="35" t="str">
        <x:v>2026-10-01</x:v>
      </x:c>
      <x:c r="K11" s="15" t="str">
        <x:v>SINGLE_OPERATOR_APPROVED</x:v>
      </x:c>
      <x:c r="L11" s="34" t="b">
        <x:v>1</x:v>
      </x:c>
      <x:c r="M11" s="15" t="str">
        <x:v>SINGLE_OPERATOR_VERIFIED</x:v>
      </x:c>
      <x:c r="N11" s="15" t="str">
        <x:v>GDRIVE:1ceR6hcnDa8RSX9WpSqnJy3Q2HEfWZdqH:V01:SHA256:48c564d886fea2153a699c9d3cfe60b068d248ebf8a2630c2479cbd706c9189e</x:v>
      </x:c>
    </x:row>
    <x:row r="12" ht="49.5" customHeight="1">
      <x:c r="A12" s="15" t="str">
        <x:v>ING-012</x:v>
      </x:c>
      <x:c r="B12" s="15" t="str">
        <x:v>Teh Bendera</x:v>
      </x:c>
      <x:c r="C12" s="15" t="str">
        <x:v>gr</x:v>
      </x:c>
      <x:c r="D12" s="15" t="str">
        <x:v>CONV-ATT-ING-012-V01</x:v>
      </x:c>
      <x:c r="E12" s="15" t="str">
        <x:v>pack</x:v>
      </x:c>
      <x:c r="F12" s="15" t="str">
        <x:v>ING-012|INTERNAL-KELONTONG|Teh Bendera|NO-SKU|pack 10 x 50 gr boxes|V01</x:v>
      </x:c>
      <x:c r="G12" s="15" t="str">
        <x:v>gr</x:v>
      </x:c>
      <x:c r="H12" s="15" t="n">
        <x:v>500</x:v>
      </x:c>
      <x:c r="I12" s="15" t="n">
        <x:v>1</x:v>
      </x:c>
      <x:c r="J12" s="35" t="str">
        <x:v>2026-10-01</x:v>
      </x:c>
      <x:c r="K12" s="15" t="str">
        <x:v>SINGLE_OPERATOR_APPROVED</x:v>
      </x:c>
      <x:c r="L12" s="34" t="b">
        <x:v>1</x:v>
      </x:c>
      <x:c r="M12" s="15" t="str">
        <x:v>SINGLE_OPERATOR_VERIFIED</x:v>
      </x:c>
      <x:c r="N12" s="15" t="str">
        <x:v>GDRIVE:10syOIKRzmbDv8cdK3viTvRZyZJE0MD1W:V01:SHA256:e2d42b429c30d439b6d2775fa77b81a816ddb54d6973d14968828eb452fd834a</x:v>
      </x:c>
    </x:row>
    <x:row r="13" ht="49.5" customHeight="1">
      <x:c r="A13" s="15" t="str">
        <x:v>ING-013</x:v>
      </x:c>
      <x:c r="B13" s="15" t="str">
        <x:v>Teh Poci</x:v>
      </x:c>
      <x:c r="C13" s="15" t="str">
        <x:v>gr</x:v>
      </x:c>
      <x:c r="D13" s="15" t="str">
        <x:v>CONV-ATT-ING-013-V01</x:v>
      </x:c>
      <x:c r="E13" s="15" t="str">
        <x:v>pack</x:v>
      </x:c>
      <x:c r="F13" s="15" t="str">
        <x:v>ING-013|INTERNAL-KELONTONG|Teh Poci|NO-SKU|pack 10 x 50 gr boxes|V01</x:v>
      </x:c>
      <x:c r="G13" s="15" t="str">
        <x:v>gr</x:v>
      </x:c>
      <x:c r="H13" s="15" t="n">
        <x:v>500</x:v>
      </x:c>
      <x:c r="I13" s="15" t="n">
        <x:v>1</x:v>
      </x:c>
      <x:c r="J13" s="35" t="str">
        <x:v>2026-10-01</x:v>
      </x:c>
      <x:c r="K13" s="15" t="str">
        <x:v>SINGLE_OPERATOR_APPROVED</x:v>
      </x:c>
      <x:c r="L13" s="34" t="b">
        <x:v>1</x:v>
      </x:c>
      <x:c r="M13" s="15" t="str">
        <x:v>SINGLE_OPERATOR_VERIFIED</x:v>
      </x:c>
      <x:c r="N13" s="15" t="str">
        <x:v>GDRIVE:1ED9G_v5t2wFGt8jgMqaScOqeHkrf13rg:V01:SHA256:47ad1f801739d5b72b61f3efc533b7a107e30f0e29160e0dfbe78da9016858a0</x:v>
      </x:c>
    </x:row>
    <x:row r="14" ht="49.5" customHeight="1">
      <x:c r="A14" s="15" t="str">
        <x:v>ING-014</x:v>
      </x:c>
      <x:c r="B14" s="15" t="str">
        <x:v>Teh Zeppelin</x:v>
      </x:c>
      <x:c r="C14" s="15" t="str">
        <x:v>gr</x:v>
      </x:c>
      <x:c r="D14" s="15" t="str">
        <x:v>CONV-ATT-ING-014-V01</x:v>
      </x:c>
      <x:c r="E14" s="15" t="str">
        <x:v>pack</x:v>
      </x:c>
      <x:c r="F14" s="15" t="str">
        <x:v>ING-014|INTERNAL-KELONTONG|Teh Zeppelin|NO-SKU|400 gr pack|V01</x:v>
      </x:c>
      <x:c r="G14" s="15" t="str">
        <x:v>gr</x:v>
      </x:c>
      <x:c r="H14" s="15" t="n">
        <x:v>400</x:v>
      </x:c>
      <x:c r="I14" s="15" t="n">
        <x:v>1</x:v>
      </x:c>
      <x:c r="J14" s="35" t="str">
        <x:v>2026-10-01</x:v>
      </x:c>
      <x:c r="K14" s="15" t="str">
        <x:v>SINGLE_OPERATOR_APPROVED</x:v>
      </x:c>
      <x:c r="L14" s="34" t="b">
        <x:v>1</x:v>
      </x:c>
      <x:c r="M14" s="15" t="str">
        <x:v>SINGLE_OPERATOR_VERIFIED</x:v>
      </x:c>
      <x:c r="N14" s="15" t="str">
        <x:v>GDRIVE:1PUtKVLy37q7QmE-6fr0RDEeRHOTmUlFa:V01:SHA256:141ca2d8f499d1a1f4ebbff4522ebcc9dfe62555f06b556d04edbe33047028ae</x:v>
      </x:c>
    </x:row>
    <x:row r="15" ht="49.5" customHeight="1">
      <x:c r="A15" s="15" t="str">
        <x:v>ING-015</x:v>
      </x:c>
      <x:c r="B15" s="15" t="str">
        <x:v>Powder Choco</x:v>
      </x:c>
      <x:c r="C15" s="15" t="str">
        <x:v>gr</x:v>
      </x:c>
      <x:c r="D15" s="15" t="str">
        <x:v>CONV-ATT-ING-015-V01</x:v>
      </x:c>
      <x:c r="E15" s="15" t="str">
        <x:v>bag</x:v>
      </x:c>
      <x:c r="F15" s="15" t="str">
        <x:v>ING-015|INTERNAL-SHOPEE-CHANNEL|Powder Choco|NO-SKU|zipper bag 500 gr|V01</x:v>
      </x:c>
      <x:c r="G15" s="15" t="str">
        <x:v>gr</x:v>
      </x:c>
      <x:c r="H15" s="15" t="n">
        <x:v>500</x:v>
      </x:c>
      <x:c r="I15" s="15" t="n">
        <x:v>1</x:v>
      </x:c>
      <x:c r="J15" s="35" t="str">
        <x:v>2026-10-01</x:v>
      </x:c>
      <x:c r="K15" s="15" t="str">
        <x:v>SINGLE_OPERATOR_APPROVED</x:v>
      </x:c>
      <x:c r="L15" s="34" t="b">
        <x:v>1</x:v>
      </x:c>
      <x:c r="M15" s="15" t="str">
        <x:v>SINGLE_OPERATOR_VERIFIED</x:v>
      </x:c>
      <x:c r="N15" s="15" t="str">
        <x:v>GDRIVE:1gby72WzDA0TttZEe3dy7ud9jY_-tvvd5:V01:SHA256:a1385bb71d8d1e6e959d4993e1154c6161ad2bb68800e927b6a3f1ca1bd840e7</x:v>
      </x:c>
    </x:row>
    <x:row r="16" ht="49.5" customHeight="1">
      <x:c r="A16" s="15" t="str">
        <x:v>ING-016</x:v>
      </x:c>
      <x:c r="B16" s="15" t="str">
        <x:v>Powder Matcha</x:v>
      </x:c>
      <x:c r="C16" s="15" t="str">
        <x:v>gr</x:v>
      </x:c>
      <x:c r="D16" s="15" t="str">
        <x:v>CONV-ATT-ING-016-V01</x:v>
      </x:c>
      <x:c r="E16" s="15" t="str">
        <x:v>bag</x:v>
      </x:c>
      <x:c r="F16" s="15" t="str">
        <x:v>ING-016|INTERNAL-SHOPEE-CHANNEL|Powder Matcha|NO-SKU|zipper bag 100 gr|V01</x:v>
      </x:c>
      <x:c r="G16" s="15" t="str">
        <x:v>gr</x:v>
      </x:c>
      <x:c r="H16" s="15" t="n">
        <x:v>100</x:v>
      </x:c>
      <x:c r="I16" s="15" t="n">
        <x:v>1</x:v>
      </x:c>
      <x:c r="J16" s="35" t="str">
        <x:v>2026-10-01</x:v>
      </x:c>
      <x:c r="K16" s="15" t="str">
        <x:v>SINGLE_OPERATOR_APPROVED</x:v>
      </x:c>
      <x:c r="L16" s="34" t="b">
        <x:v>1</x:v>
      </x:c>
      <x:c r="M16" s="15" t="str">
        <x:v>SINGLE_OPERATOR_VERIFIED</x:v>
      </x:c>
      <x:c r="N16" s="15" t="str">
        <x:v>GDRIVE:1p04n7CX_j-vGUfTFfGnU7vBPqgDqAHTZ:V01:SHA256:c1a4e1160478ff4d207fe9dc8ff5b108d38dc378176e91d5bb99cfd2e182fb99</x:v>
      </x:c>
    </x:row>
    <x:row r="17" ht="49.5" customHeight="1">
      <x:c r="A17" s="15" t="str">
        <x:v>ING-017</x:v>
      </x:c>
      <x:c r="B17" s="15" t="str">
        <x:v>Sirup</x:v>
      </x:c>
      <x:c r="C17" s="15" t="str">
        <x:v>ml</x:v>
      </x:c>
      <x:c r="D17" s="15" t="str">
        <x:v>CONV-ATT-ING-017-V01</x:v>
      </x:c>
      <x:c r="E17" s="15" t="str">
        <x:v>bottle</x:v>
      </x:c>
      <x:c r="F17" s="15" t="str">
        <x:v>ING-017|INTERNAL-SHOPEE-CHANNEL|Sirup|NO-SKU|750 ml syrup bottle|V01</x:v>
      </x:c>
      <x:c r="G17" s="15" t="str">
        <x:v>ml</x:v>
      </x:c>
      <x:c r="H17" s="15" t="n">
        <x:v>750</x:v>
      </x:c>
      <x:c r="I17" s="15" t="n">
        <x:v>1</x:v>
      </x:c>
      <x:c r="J17" s="35" t="str">
        <x:v>2026-10-01</x:v>
      </x:c>
      <x:c r="K17" s="15" t="str">
        <x:v>SINGLE_OPERATOR_APPROVED</x:v>
      </x:c>
      <x:c r="L17" s="34" t="b">
        <x:v>1</x:v>
      </x:c>
      <x:c r="M17" s="15" t="str">
        <x:v>SINGLE_OPERATOR_VERIFIED</x:v>
      </x:c>
      <x:c r="N17" s="15" t="str">
        <x:v>GDRIVE:1p0cNXzgrLyEQTg8_pFHjhiJyg7nGmqXV:V01:SHA256:244e43c08744ee32d59fc06dc6689d33ebf63f35e964533c207918e6d7c662bc</x:v>
      </x:c>
    </x:row>
    <x:row r="18" ht="49.5" customHeight="1">
      <x:c r="A18" s="15" t="str">
        <x:v>ING-019</x:v>
      </x:c>
      <x:c r="B18" s="15" t="str">
        <x:v>Soda</x:v>
      </x:c>
      <x:c r="C18" s="15" t="str">
        <x:v>ml</x:v>
      </x:c>
      <x:c r="D18" s="15" t="str">
        <x:v>CONV-ATT-ING-019-V01</x:v>
      </x:c>
      <x:c r="E18" s="15" t="str">
        <x:v>carton</x:v>
      </x:c>
      <x:c r="F18" s="15" t="str">
        <x:v>ING-019|INTERNAL-KELONTONG|Soda|NO-SKU|carton 24 x 250 ml bottles|V01</x:v>
      </x:c>
      <x:c r="G18" s="15" t="str">
        <x:v>ml</x:v>
      </x:c>
      <x:c r="H18" s="15" t="n">
        <x:v>6000</x:v>
      </x:c>
      <x:c r="I18" s="15" t="n">
        <x:v>1</x:v>
      </x:c>
      <x:c r="J18" s="35" t="str">
        <x:v>2026-10-01</x:v>
      </x:c>
      <x:c r="K18" s="15" t="str">
        <x:v>SINGLE_OPERATOR_APPROVED</x:v>
      </x:c>
      <x:c r="L18" s="34" t="b">
        <x:v>1</x:v>
      </x:c>
      <x:c r="M18" s="15" t="str">
        <x:v>SINGLE_OPERATOR_VERIFIED</x:v>
      </x:c>
      <x:c r="N18" s="15" t="str">
        <x:v>GDRIVE:1P0Va7oQdFOheUOS-jX6OJUJi7owVTmzI:V01:SHA256:ccf259c6d30f92ce883a89d999658d5d1b660e0a98b7fad41d56b06d641c1668</x:v>
      </x:c>
    </x:row>
    <x:row r="19" ht="49.5" customHeight="1">
      <x:c r="A19" s="15" t="str">
        <x:v>ING-020</x:v>
      </x:c>
      <x:c r="B19" s="15" t="str">
        <x:v>Gula</x:v>
      </x:c>
      <x:c r="C19" s="15" t="str">
        <x:v>gr</x:v>
      </x:c>
      <x:c r="D19" s="15" t="str">
        <x:v>CONV-ATT-ING-020-V01</x:v>
      </x:c>
      <x:c r="E19" s="15" t="str">
        <x:v>bag</x:v>
      </x:c>
      <x:c r="F19" s="15" t="str">
        <x:v>ING-020|INTERNAL-KELONTONG|Gula|NO-SKU|plastic bag 1 kg|V01</x:v>
      </x:c>
      <x:c r="G19" s="15" t="str">
        <x:v>gr</x:v>
      </x:c>
      <x:c r="H19" s="15" t="n">
        <x:v>1000</x:v>
      </x:c>
      <x:c r="I19" s="15" t="n">
        <x:v>1</x:v>
      </x:c>
      <x:c r="J19" s="35" t="str">
        <x:v>2026-10-01</x:v>
      </x:c>
      <x:c r="K19" s="15" t="str">
        <x:v>SINGLE_OPERATOR_APPROVED</x:v>
      </x:c>
      <x:c r="L19" s="34" t="b">
        <x:v>1</x:v>
      </x:c>
      <x:c r="M19" s="15" t="str">
        <x:v>SINGLE_OPERATOR_VERIFIED</x:v>
      </x:c>
      <x:c r="N19" s="15" t="str">
        <x:v>GDRIVE:1QDDzoXP3hspf7y0ZEd3uTIMfAhaLvfXi:V01:SHA256:2a0efdabb836160b2da3e9d15d3d34d45b7768183ac23c8c5757c92f5074951f</x:v>
      </x:c>
    </x:row>
    <x:row r="20" ht="49.5" customHeight="1">
      <x:c r="A20" s="15" t="str">
        <x:v>ING-021</x:v>
      </x:c>
      <x:c r="B20" s="15" t="str">
        <x:v>Es</x:v>
      </x:c>
      <x:c r="C20" s="15" t="str">
        <x:v>gr</x:v>
      </x:c>
      <x:c r="D20" s="15" t="str">
        <x:v>CONV-ATT-ING-021-V01</x:v>
      </x:c>
      <x:c r="E20" s="15" t="str">
        <x:v>pack</x:v>
      </x:c>
      <x:c r="F20" s="15" t="str">
        <x:v>ING-021|SUP-HAKAES|Es|NO-SKU|standardized plastic pack 10 kg|V01</x:v>
      </x:c>
      <x:c r="G20" s="15" t="str">
        <x:v>gr</x:v>
      </x:c>
      <x:c r="H20" s="15" t="n">
        <x:v>10000</x:v>
      </x:c>
      <x:c r="I20" s="15" t="n">
        <x:v>1</x:v>
      </x:c>
      <x:c r="J20" s="35" t="str">
        <x:v>2026-10-01</x:v>
      </x:c>
      <x:c r="K20" s="15" t="str">
        <x:v>SINGLE_OPERATOR_APPROVED</x:v>
      </x:c>
      <x:c r="L20" s="34" t="b">
        <x:v>1</x:v>
      </x:c>
      <x:c r="M20" s="15" t="str">
        <x:v>SINGLE_OPERATOR_VERIFIED</x:v>
      </x:c>
      <x:c r="N20" s="15" t="str">
        <x:v>GDRIVE:1i-9-BTklC4zoOp0zSBO6gKPBFIKTt144:V01:SHA256:c7419e2712ad8c1f023982ab81ff34e3dcae1db820af6ea595e48ec56ddc36fc</x:v>
      </x:c>
    </x:row>
    <x:row r="21" ht="49.5" customHeight="1">
      <x:c r="A21" s="15" t="str">
        <x:v>ING-031</x:v>
      </x:c>
      <x:c r="B21" s="15" t="str">
        <x:v>Spt Filter</x:v>
      </x:c>
      <x:c r="C21" s="15" t="str">
        <x:v>pcs</x:v>
      </x:c>
      <x:c r="D21" s="15" t="str">
        <x:v>CONV-ATT-ING-031-V01</x:v>
      </x:c>
      <x:c r="E21" s="15" t="str">
        <x:v>box</x:v>
      </x:c>
      <x:c r="F21" s="15" t="str">
        <x:v>ING-031|INTERNAL-SHOPEE-CHANNEL|Spt Filter|NO-SKU|box 40 filter sheets|V01</x:v>
      </x:c>
      <x:c r="G21" s="15" t="str">
        <x:v>pcs</x:v>
      </x:c>
      <x:c r="H21" s="15" t="n">
        <x:v>40</x:v>
      </x:c>
      <x:c r="I21" s="15" t="n">
        <x:v>1</x:v>
      </x:c>
      <x:c r="J21" s="35" t="str">
        <x:v>2026-10-01</x:v>
      </x:c>
      <x:c r="K21" s="15" t="str">
        <x:v>SINGLE_OPERATOR_APPROVED</x:v>
      </x:c>
      <x:c r="L21" s="34" t="b">
        <x:v>1</x:v>
      </x:c>
      <x:c r="M21" s="15" t="str">
        <x:v>SINGLE_OPERATOR_VERIFIED</x:v>
      </x:c>
      <x:c r="N21" s="15" t="str">
        <x:v>GDRIVE:19vpk8hzFcv982QPaGxlTq80EP44xrCGI:V01:SHA256:7cfd078b205e77f634143c5fdf01b75532af45e5b9b19e3e2414f8343cffc470</x:v>
      </x:c>
    </x:row>
    <x:row r="22" ht="49.5" customHeight="1">
      <x:c r="A22" s="15" t="str">
        <x:v>ING-032</x:v>
      </x:c>
      <x:c r="B22" s="15" t="str">
        <x:v>Spt Cup</x:v>
      </x:c>
      <x:c r="C22" s="15" t="str">
        <x:v>pcs</x:v>
      </x:c>
      <x:c r="D22" s="15" t="str">
        <x:v>CONV-ATT-ING-032-V01</x:v>
      </x:c>
      <x:c r="E22" s="15" t="str">
        <x:v>pack</x:v>
      </x:c>
      <x:c r="F22" s="15" t="str">
        <x:v>ING-032|INTERNAL-SHOPEE-CHANNEL|Spt Cup|NO-SKU|pack 25 cups|V01</x:v>
      </x:c>
      <x:c r="G22" s="15" t="str">
        <x:v>pcs</x:v>
      </x:c>
      <x:c r="H22" s="15" t="n">
        <x:v>25</x:v>
      </x:c>
      <x:c r="I22" s="15" t="n">
        <x:v>1</x:v>
      </x:c>
      <x:c r="J22" s="35" t="str">
        <x:v>2026-10-01</x:v>
      </x:c>
      <x:c r="K22" s="15" t="str">
        <x:v>SINGLE_OPERATOR_APPROVED</x:v>
      </x:c>
      <x:c r="L22" s="34" t="b">
        <x:v>1</x:v>
      </x:c>
      <x:c r="M22" s="15" t="str">
        <x:v>SINGLE_OPERATOR_VERIFIED</x:v>
      </x:c>
      <x:c r="N22" s="15" t="str">
        <x:v>GDRIVE:1u6Qd0UZhijNnXBrJOzL8wXq7Y5AU7sbq:V01:SHA256:48322c6ceb144d0a61c5863c334885d0f620630acdedc5fcf1ab0d45e983f882</x:v>
      </x:c>
    </x:row>
    <x:row r="23" ht="49.5" customHeight="1">
      <x:c r="A23" s="15" t="str">
        <x:v>ING-033</x:v>
      </x:c>
      <x:c r="B23" s="15" t="str">
        <x:v>Spt Sedotan</x:v>
      </x:c>
      <x:c r="C23" s="15" t="str">
        <x:v>pcs</x:v>
      </x:c>
      <x:c r="D23" s="15" t="str">
        <x:v>CONV-ATT-ING-033-V01</x:v>
      </x:c>
      <x:c r="E23" s="15" t="str">
        <x:v>pack</x:v>
      </x:c>
      <x:c r="F23" s="15" t="str">
        <x:v>ING-033|INTERNAL-KELONTONG|Spt Sedotan|NO-SKU|pack 500 straws|V01</x:v>
      </x:c>
      <x:c r="G23" s="15" t="str">
        <x:v>pcs</x:v>
      </x:c>
      <x:c r="H23" s="15" t="n">
        <x:v>500</x:v>
      </x:c>
      <x:c r="I23" s="15" t="n">
        <x:v>1</x:v>
      </x:c>
      <x:c r="J23" s="35" t="str">
        <x:v>2026-10-01</x:v>
      </x:c>
      <x:c r="K23" s="15" t="str">
        <x:v>SINGLE_OPERATOR_APPROVED</x:v>
      </x:c>
      <x:c r="L23" s="34" t="b">
        <x:v>1</x:v>
      </x:c>
      <x:c r="M23" s="15" t="str">
        <x:v>SINGLE_OPERATOR_VERIFIED</x:v>
      </x:c>
      <x:c r="N23" s="15" t="str">
        <x:v>GDRIVE:1XQxWYLywKr2d_420myh6Asg1eACAL5Lx:V01:SHA256:6eddce80dd4712c3f7f50ac265c83c7d215a1980b3d86dc2f1ace81cd6cf4120</x:v>
      </x:c>
    </x:row>
    <x:row r="24" ht="49.5" customHeight="1">
      <x:c r="A24" s="15" t="str">
        <x:v>ING-034</x:v>
      </x:c>
      <x:c r="B24" s="15" t="str">
        <x:v>Spt Plastik</x:v>
      </x:c>
      <x:c r="C24" s="15" t="str">
        <x:v>pcs</x:v>
      </x:c>
      <x:c r="D24" s="15" t="str">
        <x:v>CONV-ATT-ING-034-V01</x:v>
      </x:c>
      <x:c r="E24" s="15" t="str">
        <x:v>bag</x:v>
      </x:c>
      <x:c r="F24" s="15" t="str">
        <x:v>ING-034|INTERNAL-KELONTONG|Spt Plastik|NO-SKU|bag 50 sheets|V01</x:v>
      </x:c>
      <x:c r="G24" s="15" t="str">
        <x:v>pcs</x:v>
      </x:c>
      <x:c r="H24" s="15" t="n">
        <x:v>50</x:v>
      </x:c>
      <x:c r="I24" s="15" t="n">
        <x:v>1</x:v>
      </x:c>
      <x:c r="J24" s="35" t="str">
        <x:v>2026-10-01</x:v>
      </x:c>
      <x:c r="K24" s="15" t="str">
        <x:v>SINGLE_OPERATOR_APPROVED</x:v>
      </x:c>
      <x:c r="L24" s="34" t="b">
        <x:v>1</x:v>
      </x:c>
      <x:c r="M24" s="15" t="str">
        <x:v>SINGLE_OPERATOR_VERIFIED</x:v>
      </x:c>
      <x:c r="N24" s="15" t="str">
        <x:v>GDRIVE:1HUeaime2QohkAzCZSULnTx7XWCHnzLDB:V01:SHA256:9866b4ad3a070501a09d6aeb468cf1a2afd2cc57843f9cd4e5f8404e94259a4e</x:v>
      </x:c>
    </x:row>
  </x:sheetData>
  <x:mergeCells>
    <x:mergeCell ref="A1:N1"/>
  </x:mergeCells>
  <x:pageMargins left="0.7" right="0.7" top="0.75" bottom="0.75" header="0.3" footer="0.3"/>
</x:worksheet>
</file>